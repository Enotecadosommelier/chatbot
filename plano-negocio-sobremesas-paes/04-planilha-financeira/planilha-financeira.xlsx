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IMENTO INICIAL" sheetId="1" state="visible" r:id="rId3"/>
    <sheet name="CUSTO DOS PRODUTOS" sheetId="2" state="visible" r:id="rId4"/>
    <sheet name="PRECIFICAÇÃO" sheetId="3" state="visible" r:id="rId5"/>
    <sheet name="CONTROLE DIÁRIO" sheetId="4" state="visible" r:id="rId6"/>
    <sheet name="DRE SIMPLIFICAD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Custo unitário (aba CUSTO DOS PRODUTOS) + embalagem estimada de R$ 0.40 (saco kraft/pote + etiqueta).</t>
        </r>
      </text>
    </comment>
    <comment ref="B3" authorId="0">
      <text>
        <r>
          <rPr>
            <sz val="10"/>
            <rFont val="Arial"/>
            <family val="2"/>
          </rPr>
          <t xml:space="preserve">Custo unitário (aba CUSTO DOS PRODUTOS) + embalagem estimada de R$ 0.40 (saco kraft/pote + etiqueta).</t>
        </r>
      </text>
    </comment>
    <comment ref="B4" authorId="0">
      <text>
        <r>
          <rPr>
            <sz val="10"/>
            <rFont val="Arial"/>
            <family val="2"/>
          </rPr>
          <t xml:space="preserve">Custo unitário (aba CUSTO DOS PRODUTOS) + embalagem estimada de R$ 0.40 (saco kraft/pote + etiqueta).</t>
        </r>
      </text>
    </comment>
    <comment ref="B5" authorId="0">
      <text>
        <r>
          <rPr>
            <sz val="10"/>
            <rFont val="Arial"/>
            <family val="2"/>
          </rPr>
          <t xml:space="preserve">Custo unitário (aba CUSTO DOS PRODUTOS) + embalagem estimada de R$ 0.40 (saco kraft/pote + etiqueta).</t>
        </r>
      </text>
    </comment>
    <comment ref="B6" authorId="0">
      <text>
        <r>
          <rPr>
            <sz val="10"/>
            <rFont val="Arial"/>
            <family val="2"/>
          </rPr>
          <t xml:space="preserve">Custo unitário (aba CUSTO DOS PRODUTOS) + embalagem estimada de R$ 1.20 (saco kraft/pote + etiqueta).</t>
        </r>
      </text>
    </comment>
    <comment ref="B7" authorId="0">
      <text>
        <r>
          <rPr>
            <sz val="10"/>
            <rFont val="Arial"/>
            <family val="2"/>
          </rPr>
          <t xml:space="preserve">Custo unitário (aba CUSTO DOS PRODUTOS) + embalagem estimada de R$ 1.20 (saco kraft/pote + etiqueta).</t>
        </r>
      </text>
    </comment>
    <comment ref="B8" authorId="0">
      <text>
        <r>
          <rPr>
            <sz val="10"/>
            <rFont val="Arial"/>
            <family val="2"/>
          </rPr>
          <t xml:space="preserve">Custo unitário (aba CUSTO DOS PRODUTOS) + embalagem estimada de R$ 1.20 (saco kraft/pote + etiqueta).</t>
        </r>
      </text>
    </comment>
    <comment ref="B9" authorId="0">
      <text>
        <r>
          <rPr>
            <sz val="10"/>
            <rFont val="Arial"/>
            <family val="2"/>
          </rPr>
          <t xml:space="preserve">Custo unitário (aba CUSTO DOS PRODUTOS) + embalagem estimada de R$ 1.50 (saco kraft/pote + etiqueta).</t>
        </r>
      </text>
    </comment>
    <comment ref="B10" authorId="0">
      <text>
        <r>
          <rPr>
            <sz val="10"/>
            <rFont val="Arial"/>
            <family val="2"/>
          </rPr>
          <t xml:space="preserve">Custo unitário (aba CUSTO DOS PRODUTOS) + embalagem estimada de R$ 1.20 (saco kraft/pote + etiqueta).</t>
        </r>
      </text>
    </comment>
  </commentList>
</comments>
</file>

<file path=xl/sharedStrings.xml><?xml version="1.0" encoding="utf-8"?>
<sst xmlns="http://schemas.openxmlformats.org/spreadsheetml/2006/main" count="116" uniqueCount="86">
  <si>
    <t xml:space="preserve">Produto</t>
  </si>
  <si>
    <t xml:space="preserve">Quantidade</t>
  </si>
  <si>
    <t xml:space="preserve">Valor unitário</t>
  </si>
  <si>
    <t xml:space="preserve">Total</t>
  </si>
  <si>
    <t xml:space="preserve">Prioridade</t>
  </si>
  <si>
    <t xml:space="preserve">Freezer horizontal 300L</t>
  </si>
  <si>
    <t xml:space="preserve">Essencial</t>
  </si>
  <si>
    <t xml:space="preserve">Geladeira duplex (se não houver disponível em casa)</t>
  </si>
  <si>
    <t xml:space="preserve">Batedeira planetária 5L</t>
  </si>
  <si>
    <t xml:space="preserve">Liquidificador profissional</t>
  </si>
  <si>
    <t xml:space="preserve">Forno elétrico de bancada 45L</t>
  </si>
  <si>
    <t xml:space="preserve">Assadeiras antiaderentes (kit com 5)</t>
  </si>
  <si>
    <t xml:space="preserve">Utensílios diversos (bowls, espátulas, facas)</t>
  </si>
  <si>
    <t xml:space="preserve">Balança digital de precisão (até 5kg)</t>
  </si>
  <si>
    <t xml:space="preserve">Seladora de embalagens</t>
  </si>
  <si>
    <t xml:space="preserve">Bancada de produção em inox</t>
  </si>
  <si>
    <t xml:space="preserve">Embalagens iniciais (potes 200ml + sacos kraft)</t>
  </si>
  <si>
    <t xml:space="preserve">Etiquetas personalizadas (rolo, 1000un)</t>
  </si>
  <si>
    <t xml:space="preserve">EPI (luvas, toucas, aventais)</t>
  </si>
  <si>
    <t xml:space="preserve">Impressora térmica de etiquetas</t>
  </si>
  <si>
    <t xml:space="preserve">Pode esperar</t>
  </si>
  <si>
    <t xml:space="preserve">Seladora a vácuo</t>
  </si>
  <si>
    <t xml:space="preserve">Carrinho auxiliar de inox</t>
  </si>
  <si>
    <t xml:space="preserve">Freezer vertical adicional</t>
  </si>
  <si>
    <t xml:space="preserve">Futuro crescimento</t>
  </si>
  <si>
    <t xml:space="preserve">Forno de lastro/esteira semi-industrial</t>
  </si>
  <si>
    <t xml:space="preserve">Moto/bicicleta elétrica para entregas</t>
  </si>
  <si>
    <t xml:space="preserve">Identidade visual profissional (logo, papelaria)</t>
  </si>
  <si>
    <t xml:space="preserve">TOTAL GERAL</t>
  </si>
  <si>
    <t xml:space="preserve">Nota: valores em azul são estimativas de mercado (2026) e podem ser editados conforme cotação real. Item 'Geladeira duplex' pode ser removido do total essencial se a residência já tiver uma disponível para uso exclusivo do negócio.</t>
  </si>
  <si>
    <t xml:space="preserve">Ingredientes</t>
  </si>
  <si>
    <t xml:space="preserve">Custo receita</t>
  </si>
  <si>
    <t xml:space="preserve">Quantidade produzida</t>
  </si>
  <si>
    <t xml:space="preserve">Custo unitário</t>
  </si>
  <si>
    <t xml:space="preserve">Pão recheado frango + queijo</t>
  </si>
  <si>
    <t xml:space="preserve">Farinha, fermento, açúcar, sal, ovos, leite, manteiga, frango desfiado, queijo muçarela, requeijão</t>
  </si>
  <si>
    <t xml:space="preserve">Pão recheado calabresa + queijo</t>
  </si>
  <si>
    <t xml:space="preserve">Farinha, fermento, açúcar, sal, ovos, leite, manteiga, calabresa, queijo muçarela, cebola</t>
  </si>
  <si>
    <t xml:space="preserve">Pão recheado presunto + queijo</t>
  </si>
  <si>
    <t xml:space="preserve">Farinha, fermento, açúcar, sal, ovos, leite, manteiga, presunto, queijo muçarela</t>
  </si>
  <si>
    <t xml:space="preserve">Pão recheado rúcula + queijo</t>
  </si>
  <si>
    <t xml:space="preserve">Farinha, fermento, açúcar, sal, ovos, leite, manteiga, rúcula, queijo/ricota, tomate seco</t>
  </si>
  <si>
    <t xml:space="preserve">Mousse de chocolate</t>
  </si>
  <si>
    <t xml:space="preserve">Chocolate meio amargo, creme de leite, leite condensado, claras de ovo</t>
  </si>
  <si>
    <t xml:space="preserve">Mousse de maracujá</t>
  </si>
  <si>
    <t xml:space="preserve">Suco concentrado de maracujá, leite condensado, creme de leite, gelatina incolor</t>
  </si>
  <si>
    <t xml:space="preserve">Mousse de limão</t>
  </si>
  <si>
    <t xml:space="preserve">Suco e raspas de limão, leite condensado, creme de leite, gelatina incolor</t>
  </si>
  <si>
    <t xml:space="preserve">Banoffee no pote</t>
  </si>
  <si>
    <t xml:space="preserve">Bolacha, manteiga, doce de leite, banana, chantilly, chocolate em raspas</t>
  </si>
  <si>
    <t xml:space="preserve">Pavê no pote</t>
  </si>
  <si>
    <t xml:space="preserve">Biscoito champanhe, leite condensado, leite, creme de leite, chocolate em pó</t>
  </si>
  <si>
    <t xml:space="preserve">Nota: 'Custo receita' considera apenas ingredientes (massa + recheio ou creme), sem embalagem. O custo de embalagem é somado na aba PRECIFICAÇÃO.</t>
  </si>
  <si>
    <t xml:space="preserve">Custo</t>
  </si>
  <si>
    <t xml:space="preserve">Margem desejada</t>
  </si>
  <si>
    <t xml:space="preserve">Preço venda</t>
  </si>
  <si>
    <t xml:space="preserve">Lucro</t>
  </si>
  <si>
    <t xml:space="preserve">Como usar: edite a 'Margem desejada' (célula amarela) para simular preços. 'Preço venda' recalcula automaticamente como Custo / (1 - Margem desejada).</t>
  </si>
  <si>
    <t xml:space="preserve">Data</t>
  </si>
  <si>
    <t xml:space="preserve">Produto vendido</t>
  </si>
  <si>
    <t xml:space="preserve">Receita</t>
  </si>
  <si>
    <t xml:space="preserve">Custos</t>
  </si>
  <si>
    <t xml:space="preserve">Pão recheado frango + queijo (10 un)</t>
  </si>
  <si>
    <t xml:space="preserve">TOTAL</t>
  </si>
  <si>
    <t xml:space="preserve">Linha 2 (amarela) é um exemplo de preenchimento. Preencha Data, Produto vendido, Quantidade, Receita e Custos a cada venda — a coluna Lucro calcula sozinha.</t>
  </si>
  <si>
    <t xml:space="preserve">Item</t>
  </si>
  <si>
    <t xml:space="preserve">Mês 1</t>
  </si>
  <si>
    <t xml:space="preserve">Mês 2</t>
  </si>
  <si>
    <t xml:space="preserve">Mês 3</t>
  </si>
  <si>
    <t xml:space="preserve">Mês 4</t>
  </si>
  <si>
    <t xml:space="preserve">Mês 5</t>
  </si>
  <si>
    <t xml:space="preserve">Mês 6</t>
  </si>
  <si>
    <t xml:space="preserve">Mês 7</t>
  </si>
  <si>
    <t xml:space="preserve">Mês 8</t>
  </si>
  <si>
    <t xml:space="preserve">Mês 9</t>
  </si>
  <si>
    <t xml:space="preserve">Mês 10</t>
  </si>
  <si>
    <t xml:space="preserve">Mês 11</t>
  </si>
  <si>
    <t xml:space="preserve">Mês 12</t>
  </si>
  <si>
    <t xml:space="preserve">Total Ano</t>
  </si>
  <si>
    <t xml:space="preserve">Receita bruta</t>
  </si>
  <si>
    <t xml:space="preserve">(-) Matéria-prima</t>
  </si>
  <si>
    <t xml:space="preserve">(-) Embalagens</t>
  </si>
  <si>
    <t xml:space="preserve">(-) Energia</t>
  </si>
  <si>
    <t xml:space="preserve">(-) Outros custos</t>
  </si>
  <si>
    <t xml:space="preserve">Lucro líquido</t>
  </si>
  <si>
    <t xml:space="preserve">Nota: valores de referência baseados no cenário REALISTA da projeção de 12 meses (ver 05-projecao-12-meses). Células em azul são estimativas/metas mensais e devem ser substituídas pelos números reais à medida que o negócio opera — Lucro líquido recalcula automaticamente.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</si>
</sst>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&quot;#,##0.00;&quot;(R$&quot;#,##0.00\);\-"/>
    <numFmt numFmtId="166" formatCode="0.0%"/>
    <numFmt numFmtId="167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A3B1E"/>
        <bgColor rgb="FF993366"/>
      </patternFill>
    </fill>
    <fill>
      <patternFill patternType="solid">
        <fgColor rgb="FFF3E2BD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2B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A3B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1</v>
      </c>
      <c r="C2" s="4" t="n">
        <v>2200</v>
      </c>
      <c r="D2" s="5" t="n">
        <f aca="false">B2*C2</f>
        <v>2200</v>
      </c>
      <c r="E2" s="2" t="s">
        <v>6</v>
      </c>
    </row>
    <row r="3" customFormat="false" ht="15" hidden="false" customHeight="false" outlineLevel="0" collapsed="false">
      <c r="A3" s="2" t="s">
        <v>7</v>
      </c>
      <c r="B3" s="3" t="n">
        <v>1</v>
      </c>
      <c r="C3" s="4" t="n">
        <v>2500</v>
      </c>
      <c r="D3" s="5" t="n">
        <f aca="false">B3*C3</f>
        <v>2500</v>
      </c>
      <c r="E3" s="2" t="s">
        <v>6</v>
      </c>
    </row>
    <row r="4" customFormat="false" ht="15" hidden="false" customHeight="false" outlineLevel="0" collapsed="false">
      <c r="A4" s="2" t="s">
        <v>8</v>
      </c>
      <c r="B4" s="3" t="n">
        <v>1</v>
      </c>
      <c r="C4" s="4" t="n">
        <v>800</v>
      </c>
      <c r="D4" s="5" t="n">
        <f aca="false">B4*C4</f>
        <v>800</v>
      </c>
      <c r="E4" s="2" t="s">
        <v>6</v>
      </c>
    </row>
    <row r="5" customFormat="false" ht="15" hidden="false" customHeight="false" outlineLevel="0" collapsed="false">
      <c r="A5" s="2" t="s">
        <v>9</v>
      </c>
      <c r="B5" s="3" t="n">
        <v>1</v>
      </c>
      <c r="C5" s="4" t="n">
        <v>450</v>
      </c>
      <c r="D5" s="5" t="n">
        <f aca="false">B5*C5</f>
        <v>450</v>
      </c>
      <c r="E5" s="2" t="s">
        <v>6</v>
      </c>
    </row>
    <row r="6" customFormat="false" ht="15" hidden="false" customHeight="false" outlineLevel="0" collapsed="false">
      <c r="A6" s="2" t="s">
        <v>10</v>
      </c>
      <c r="B6" s="3" t="n">
        <v>1</v>
      </c>
      <c r="C6" s="4" t="n">
        <v>900</v>
      </c>
      <c r="D6" s="5" t="n">
        <f aca="false">B6*C6</f>
        <v>900</v>
      </c>
      <c r="E6" s="2" t="s">
        <v>6</v>
      </c>
    </row>
    <row r="7" customFormat="false" ht="15" hidden="false" customHeight="false" outlineLevel="0" collapsed="false">
      <c r="A7" s="2" t="s">
        <v>11</v>
      </c>
      <c r="B7" s="3" t="n">
        <v>1</v>
      </c>
      <c r="C7" s="4" t="n">
        <v>250</v>
      </c>
      <c r="D7" s="5" t="n">
        <f aca="false">B7*C7</f>
        <v>250</v>
      </c>
      <c r="E7" s="2" t="s">
        <v>6</v>
      </c>
    </row>
    <row r="8" customFormat="false" ht="15" hidden="false" customHeight="false" outlineLevel="0" collapsed="false">
      <c r="A8" s="2" t="s">
        <v>12</v>
      </c>
      <c r="B8" s="3" t="n">
        <v>1</v>
      </c>
      <c r="C8" s="4" t="n">
        <v>300</v>
      </c>
      <c r="D8" s="5" t="n">
        <f aca="false">B8*C8</f>
        <v>300</v>
      </c>
      <c r="E8" s="2" t="s">
        <v>6</v>
      </c>
    </row>
    <row r="9" customFormat="false" ht="15" hidden="false" customHeight="false" outlineLevel="0" collapsed="false">
      <c r="A9" s="2" t="s">
        <v>13</v>
      </c>
      <c r="B9" s="3" t="n">
        <v>1</v>
      </c>
      <c r="C9" s="4" t="n">
        <v>120</v>
      </c>
      <c r="D9" s="5" t="n">
        <f aca="false">B9*C9</f>
        <v>120</v>
      </c>
      <c r="E9" s="2" t="s">
        <v>6</v>
      </c>
    </row>
    <row r="10" customFormat="false" ht="15" hidden="false" customHeight="false" outlineLevel="0" collapsed="false">
      <c r="A10" s="2" t="s">
        <v>14</v>
      </c>
      <c r="B10" s="3" t="n">
        <v>1</v>
      </c>
      <c r="C10" s="4" t="n">
        <v>250</v>
      </c>
      <c r="D10" s="5" t="n">
        <f aca="false">B10*C10</f>
        <v>250</v>
      </c>
      <c r="E10" s="2" t="s">
        <v>6</v>
      </c>
    </row>
    <row r="11" customFormat="false" ht="15" hidden="false" customHeight="false" outlineLevel="0" collapsed="false">
      <c r="A11" s="2" t="s">
        <v>15</v>
      </c>
      <c r="B11" s="3" t="n">
        <v>1</v>
      </c>
      <c r="C11" s="4" t="n">
        <v>900</v>
      </c>
      <c r="D11" s="5" t="n">
        <f aca="false">B11*C11</f>
        <v>900</v>
      </c>
      <c r="E11" s="2" t="s">
        <v>6</v>
      </c>
    </row>
    <row r="12" customFormat="false" ht="15" hidden="false" customHeight="false" outlineLevel="0" collapsed="false">
      <c r="A12" s="2" t="s">
        <v>16</v>
      </c>
      <c r="B12" s="3" t="n">
        <v>1</v>
      </c>
      <c r="C12" s="4" t="n">
        <v>500</v>
      </c>
      <c r="D12" s="5" t="n">
        <f aca="false">B12*C12</f>
        <v>500</v>
      </c>
      <c r="E12" s="2" t="s">
        <v>6</v>
      </c>
    </row>
    <row r="13" customFormat="false" ht="15" hidden="false" customHeight="false" outlineLevel="0" collapsed="false">
      <c r="A13" s="2" t="s">
        <v>17</v>
      </c>
      <c r="B13" s="3" t="n">
        <v>1</v>
      </c>
      <c r="C13" s="4" t="n">
        <v>150</v>
      </c>
      <c r="D13" s="5" t="n">
        <f aca="false">B13*C13</f>
        <v>150</v>
      </c>
      <c r="E13" s="2" t="s">
        <v>6</v>
      </c>
    </row>
    <row r="14" customFormat="false" ht="15" hidden="false" customHeight="false" outlineLevel="0" collapsed="false">
      <c r="A14" s="2" t="s">
        <v>18</v>
      </c>
      <c r="B14" s="3" t="n">
        <v>1</v>
      </c>
      <c r="C14" s="4" t="n">
        <v>120</v>
      </c>
      <c r="D14" s="5" t="n">
        <f aca="false">B14*C14</f>
        <v>120</v>
      </c>
      <c r="E14" s="2" t="s">
        <v>6</v>
      </c>
    </row>
    <row r="15" customFormat="false" ht="15" hidden="false" customHeight="false" outlineLevel="0" collapsed="false">
      <c r="A15" s="2" t="s">
        <v>19</v>
      </c>
      <c r="B15" s="3" t="n">
        <v>1</v>
      </c>
      <c r="C15" s="4" t="n">
        <v>350</v>
      </c>
      <c r="D15" s="5" t="n">
        <f aca="false">B15*C15</f>
        <v>350</v>
      </c>
      <c r="E15" s="2" t="s">
        <v>20</v>
      </c>
    </row>
    <row r="16" customFormat="false" ht="15" hidden="false" customHeight="false" outlineLevel="0" collapsed="false">
      <c r="A16" s="2" t="s">
        <v>21</v>
      </c>
      <c r="B16" s="3" t="n">
        <v>1</v>
      </c>
      <c r="C16" s="4" t="n">
        <v>600</v>
      </c>
      <c r="D16" s="5" t="n">
        <f aca="false">B16*C16</f>
        <v>600</v>
      </c>
      <c r="E16" s="2" t="s">
        <v>20</v>
      </c>
    </row>
    <row r="17" customFormat="false" ht="15" hidden="false" customHeight="false" outlineLevel="0" collapsed="false">
      <c r="A17" s="2" t="s">
        <v>22</v>
      </c>
      <c r="B17" s="3" t="n">
        <v>1</v>
      </c>
      <c r="C17" s="4" t="n">
        <v>400</v>
      </c>
      <c r="D17" s="5" t="n">
        <f aca="false">B17*C17</f>
        <v>400</v>
      </c>
      <c r="E17" s="2" t="s">
        <v>20</v>
      </c>
    </row>
    <row r="18" customFormat="false" ht="15" hidden="false" customHeight="false" outlineLevel="0" collapsed="false">
      <c r="A18" s="2" t="s">
        <v>23</v>
      </c>
      <c r="B18" s="3" t="n">
        <v>1</v>
      </c>
      <c r="C18" s="4" t="n">
        <v>2800</v>
      </c>
      <c r="D18" s="5" t="n">
        <f aca="false">B18*C18</f>
        <v>2800</v>
      </c>
      <c r="E18" s="2" t="s">
        <v>24</v>
      </c>
    </row>
    <row r="19" customFormat="false" ht="15" hidden="false" customHeight="false" outlineLevel="0" collapsed="false">
      <c r="A19" s="2" t="s">
        <v>25</v>
      </c>
      <c r="B19" s="3" t="n">
        <v>1</v>
      </c>
      <c r="C19" s="4" t="n">
        <v>6000</v>
      </c>
      <c r="D19" s="5" t="n">
        <f aca="false">B19*C19</f>
        <v>6000</v>
      </c>
      <c r="E19" s="2" t="s">
        <v>24</v>
      </c>
    </row>
    <row r="20" customFormat="false" ht="15" hidden="false" customHeight="false" outlineLevel="0" collapsed="false">
      <c r="A20" s="2" t="s">
        <v>26</v>
      </c>
      <c r="B20" s="3" t="n">
        <v>1</v>
      </c>
      <c r="C20" s="4" t="n">
        <v>8000</v>
      </c>
      <c r="D20" s="5" t="n">
        <f aca="false">B20*C20</f>
        <v>8000</v>
      </c>
      <c r="E20" s="2" t="s">
        <v>24</v>
      </c>
    </row>
    <row r="21" customFormat="false" ht="15" hidden="false" customHeight="false" outlineLevel="0" collapsed="false">
      <c r="A21" s="2" t="s">
        <v>27</v>
      </c>
      <c r="B21" s="3" t="n">
        <v>1</v>
      </c>
      <c r="C21" s="4" t="n">
        <v>800</v>
      </c>
      <c r="D21" s="5" t="n">
        <f aca="false">B21*C21</f>
        <v>800</v>
      </c>
      <c r="E21" s="2" t="s">
        <v>24</v>
      </c>
    </row>
    <row r="22" customFormat="false" ht="15" hidden="false" customHeight="false" outlineLevel="0" collapsed="false">
      <c r="A22" s="6" t="s">
        <v>28</v>
      </c>
      <c r="B22" s="7"/>
      <c r="C22" s="7"/>
      <c r="D22" s="8" t="n">
        <f aca="false">SUM(D2:D21)</f>
        <v>28390</v>
      </c>
      <c r="E22" s="7"/>
    </row>
    <row r="24" customFormat="false" ht="15" hidden="false" customHeight="false" outlineLevel="0" collapsed="false">
      <c r="A24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customFormat="false" ht="26.85" hidden="false" customHeight="false" outlineLevel="0" collapsed="false">
      <c r="A2" s="10" t="s">
        <v>34</v>
      </c>
      <c r="B2" s="10" t="s">
        <v>35</v>
      </c>
      <c r="C2" s="11" t="n">
        <v>40.47</v>
      </c>
      <c r="D2" s="12" t="n">
        <v>20</v>
      </c>
      <c r="E2" s="13" t="n">
        <f aca="false">C2/D2</f>
        <v>2.0235</v>
      </c>
    </row>
    <row r="3" customFormat="false" ht="26.85" hidden="false" customHeight="false" outlineLevel="0" collapsed="false">
      <c r="A3" s="10" t="s">
        <v>36</v>
      </c>
      <c r="B3" s="10" t="s">
        <v>37</v>
      </c>
      <c r="C3" s="11" t="n">
        <v>29.67</v>
      </c>
      <c r="D3" s="12" t="n">
        <v>20</v>
      </c>
      <c r="E3" s="13" t="n">
        <f aca="false">C3/D3</f>
        <v>1.4835</v>
      </c>
    </row>
    <row r="4" customFormat="false" ht="26.85" hidden="false" customHeight="false" outlineLevel="0" collapsed="false">
      <c r="A4" s="10" t="s">
        <v>38</v>
      </c>
      <c r="B4" s="10" t="s">
        <v>39</v>
      </c>
      <c r="C4" s="11" t="n">
        <v>29.87</v>
      </c>
      <c r="D4" s="12" t="n">
        <v>20</v>
      </c>
      <c r="E4" s="13" t="n">
        <f aca="false">C4/D4</f>
        <v>1.4935</v>
      </c>
    </row>
    <row r="5" customFormat="false" ht="26.85" hidden="false" customHeight="false" outlineLevel="0" collapsed="false">
      <c r="A5" s="10" t="s">
        <v>40</v>
      </c>
      <c r="B5" s="10" t="s">
        <v>41</v>
      </c>
      <c r="C5" s="11" t="n">
        <v>35.47</v>
      </c>
      <c r="D5" s="12" t="n">
        <v>20</v>
      </c>
      <c r="E5" s="13" t="n">
        <f aca="false">C5/D5</f>
        <v>1.7735</v>
      </c>
    </row>
    <row r="6" customFormat="false" ht="15" hidden="false" customHeight="false" outlineLevel="0" collapsed="false">
      <c r="A6" s="10" t="s">
        <v>42</v>
      </c>
      <c r="B6" s="10" t="s">
        <v>43</v>
      </c>
      <c r="C6" s="11" t="n">
        <v>30</v>
      </c>
      <c r="D6" s="12" t="n">
        <v>10</v>
      </c>
      <c r="E6" s="13" t="n">
        <f aca="false">C6/D6</f>
        <v>3</v>
      </c>
    </row>
    <row r="7" customFormat="false" ht="26.85" hidden="false" customHeight="false" outlineLevel="0" collapsed="false">
      <c r="A7" s="10" t="s">
        <v>44</v>
      </c>
      <c r="B7" s="10" t="s">
        <v>45</v>
      </c>
      <c r="C7" s="11" t="n">
        <v>23</v>
      </c>
      <c r="D7" s="12" t="n">
        <v>10</v>
      </c>
      <c r="E7" s="13" t="n">
        <f aca="false">C7/D7</f>
        <v>2.3</v>
      </c>
    </row>
    <row r="8" customFormat="false" ht="15" hidden="false" customHeight="false" outlineLevel="0" collapsed="false">
      <c r="A8" s="10" t="s">
        <v>46</v>
      </c>
      <c r="B8" s="10" t="s">
        <v>47</v>
      </c>
      <c r="C8" s="11" t="n">
        <v>20</v>
      </c>
      <c r="D8" s="12" t="n">
        <v>10</v>
      </c>
      <c r="E8" s="13" t="n">
        <f aca="false">C8/D8</f>
        <v>2</v>
      </c>
    </row>
    <row r="9" customFormat="false" ht="15" hidden="false" customHeight="false" outlineLevel="0" collapsed="false">
      <c r="A9" s="10" t="s">
        <v>48</v>
      </c>
      <c r="B9" s="10" t="s">
        <v>49</v>
      </c>
      <c r="C9" s="11" t="n">
        <v>27.75</v>
      </c>
      <c r="D9" s="12" t="n">
        <v>8</v>
      </c>
      <c r="E9" s="13" t="n">
        <f aca="false">C9/D9</f>
        <v>3.46875</v>
      </c>
    </row>
    <row r="10" customFormat="false" ht="26.85" hidden="false" customHeight="false" outlineLevel="0" collapsed="false">
      <c r="A10" s="10" t="s">
        <v>50</v>
      </c>
      <c r="B10" s="10" t="s">
        <v>51</v>
      </c>
      <c r="C10" s="11" t="n">
        <v>24</v>
      </c>
      <c r="D10" s="12" t="n">
        <v>10</v>
      </c>
      <c r="E10" s="13" t="n">
        <f aca="false">C10/D10</f>
        <v>2.4</v>
      </c>
    </row>
    <row r="12" customFormat="false" ht="15" hidden="false" customHeight="false" outlineLevel="0" collapsed="false">
      <c r="A12" s="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</row>
    <row r="2" customFormat="false" ht="15" hidden="false" customHeight="false" outlineLevel="0" collapsed="false">
      <c r="A2" s="2" t="s">
        <v>34</v>
      </c>
      <c r="B2" s="14" t="n">
        <f aca="false">'CUSTO DOS PRODUTOS'!E2+0.4</f>
        <v>2.4235</v>
      </c>
      <c r="C2" s="15" t="n">
        <v>0.6543</v>
      </c>
      <c r="D2" s="5" t="n">
        <f aca="false">B2/(1-C2)</f>
        <v>7.01041365345675</v>
      </c>
      <c r="E2" s="5" t="n">
        <f aca="false">D2-B2</f>
        <v>4.58691365345675</v>
      </c>
    </row>
    <row r="3" customFormat="false" ht="15" hidden="false" customHeight="false" outlineLevel="0" collapsed="false">
      <c r="A3" s="2" t="s">
        <v>36</v>
      </c>
      <c r="B3" s="14" t="n">
        <f aca="false">'CUSTO DOS PRODUTOS'!E3+0.4</f>
        <v>1.8835</v>
      </c>
      <c r="C3" s="15" t="n">
        <v>0.7108</v>
      </c>
      <c r="D3" s="5" t="n">
        <f aca="false">B3/(1-C3)</f>
        <v>6.5127939142462</v>
      </c>
      <c r="E3" s="5" t="n">
        <f aca="false">D3-B3</f>
        <v>4.6292939142462</v>
      </c>
    </row>
    <row r="4" customFormat="false" ht="15" hidden="false" customHeight="false" outlineLevel="0" collapsed="false">
      <c r="A4" s="2" t="s">
        <v>38</v>
      </c>
      <c r="B4" s="14" t="n">
        <f aca="false">'CUSTO DOS PRODUTOS'!E4+0.4</f>
        <v>1.8935</v>
      </c>
      <c r="C4" s="15" t="n">
        <v>0.7092</v>
      </c>
      <c r="D4" s="5" t="n">
        <f aca="false">B4/(1-C4)</f>
        <v>6.51134800550206</v>
      </c>
      <c r="E4" s="5" t="n">
        <f aca="false">D4-B4</f>
        <v>4.61784800550207</v>
      </c>
    </row>
    <row r="5" customFormat="false" ht="15" hidden="false" customHeight="false" outlineLevel="0" collapsed="false">
      <c r="A5" s="2" t="s">
        <v>40</v>
      </c>
      <c r="B5" s="14" t="n">
        <f aca="false">'CUSTO DOS PRODUTOS'!E5+0.4</f>
        <v>2.1735</v>
      </c>
      <c r="C5" s="15" t="n">
        <v>0.7107</v>
      </c>
      <c r="D5" s="5" t="n">
        <f aca="false">B5/(1-C5)</f>
        <v>7.51296232284825</v>
      </c>
      <c r="E5" s="5" t="n">
        <f aca="false">D5-B5</f>
        <v>5.33946232284825</v>
      </c>
    </row>
    <row r="6" customFormat="false" ht="15" hidden="false" customHeight="false" outlineLevel="0" collapsed="false">
      <c r="A6" s="2" t="s">
        <v>42</v>
      </c>
      <c r="B6" s="14" t="n">
        <f aca="false">'CUSTO DOS PRODUTOS'!E6+1.2</f>
        <v>4.2</v>
      </c>
      <c r="C6" s="15" t="n">
        <v>0.65</v>
      </c>
      <c r="D6" s="5" t="n">
        <f aca="false">B6/(1-C6)</f>
        <v>12</v>
      </c>
      <c r="E6" s="5" t="n">
        <f aca="false">D6-B6</f>
        <v>7.8</v>
      </c>
    </row>
    <row r="7" customFormat="false" ht="15" hidden="false" customHeight="false" outlineLevel="0" collapsed="false">
      <c r="A7" s="2" t="s">
        <v>44</v>
      </c>
      <c r="B7" s="14" t="n">
        <f aca="false">'CUSTO DOS PRODUTOS'!E7+1.2</f>
        <v>3.5</v>
      </c>
      <c r="C7" s="15" t="n">
        <v>0.6818</v>
      </c>
      <c r="D7" s="5" t="n">
        <f aca="false">B7/(1-C7)</f>
        <v>10.9993714644877</v>
      </c>
      <c r="E7" s="5" t="n">
        <f aca="false">D7-B7</f>
        <v>7.49937146448774</v>
      </c>
    </row>
    <row r="8" customFormat="false" ht="15" hidden="false" customHeight="false" outlineLevel="0" collapsed="false">
      <c r="A8" s="2" t="s">
        <v>46</v>
      </c>
      <c r="B8" s="14" t="n">
        <f aca="false">'CUSTO DOS PRODUTOS'!E8+1.2</f>
        <v>3.2</v>
      </c>
      <c r="C8" s="15" t="n">
        <v>0.7091</v>
      </c>
      <c r="D8" s="5" t="n">
        <f aca="false">B8/(1-C8)</f>
        <v>11.0003437607425</v>
      </c>
      <c r="E8" s="5" t="n">
        <f aca="false">D8-B8</f>
        <v>7.80034376074252</v>
      </c>
    </row>
    <row r="9" customFormat="false" ht="15" hidden="false" customHeight="false" outlineLevel="0" collapsed="false">
      <c r="A9" s="2" t="s">
        <v>48</v>
      </c>
      <c r="B9" s="14" t="n">
        <f aca="false">'CUSTO DOS PRODUTOS'!E9+1.5</f>
        <v>4.96875</v>
      </c>
      <c r="C9" s="15" t="n">
        <v>0.645</v>
      </c>
      <c r="D9" s="5" t="n">
        <f aca="false">B9/(1-C9)</f>
        <v>13.9964788732394</v>
      </c>
      <c r="E9" s="5" t="n">
        <f aca="false">D9-B9</f>
        <v>9.02772887323944</v>
      </c>
    </row>
    <row r="10" customFormat="false" ht="15" hidden="false" customHeight="false" outlineLevel="0" collapsed="false">
      <c r="A10" s="2" t="s">
        <v>50</v>
      </c>
      <c r="B10" s="14" t="n">
        <f aca="false">'CUSTO DOS PRODUTOS'!E10+1.2</f>
        <v>3.6</v>
      </c>
      <c r="C10" s="15" t="n">
        <v>0.6727</v>
      </c>
      <c r="D10" s="5" t="n">
        <f aca="false">B10/(1-C10)</f>
        <v>10.9990834097159</v>
      </c>
      <c r="E10" s="5" t="n">
        <f aca="false">D10-B10</f>
        <v>7.39908340971586</v>
      </c>
    </row>
    <row r="12" customFormat="false" ht="15" hidden="false" customHeight="false" outlineLevel="0" collapsed="false">
      <c r="A12" s="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6" min="4" style="0" width="14"/>
  </cols>
  <sheetData>
    <row r="1" customFormat="false" ht="15" hidden="false" customHeight="false" outlineLevel="0" collapsed="false">
      <c r="A1" s="1" t="s">
        <v>58</v>
      </c>
      <c r="B1" s="1" t="s">
        <v>59</v>
      </c>
      <c r="C1" s="1" t="s">
        <v>1</v>
      </c>
      <c r="D1" s="1" t="s">
        <v>60</v>
      </c>
      <c r="E1" s="1" t="s">
        <v>61</v>
      </c>
      <c r="F1" s="1" t="s">
        <v>56</v>
      </c>
    </row>
    <row r="2" customFormat="false" ht="15" hidden="false" customHeight="false" outlineLevel="0" collapsed="false">
      <c r="A2" s="16" t="n">
        <v>46244</v>
      </c>
      <c r="B2" s="17" t="s">
        <v>62</v>
      </c>
      <c r="C2" s="17" t="n">
        <v>10</v>
      </c>
      <c r="D2" s="18" t="n">
        <v>70</v>
      </c>
      <c r="E2" s="18" t="n">
        <v>24.2</v>
      </c>
      <c r="F2" s="19" t="n">
        <f aca="false">D2-E2</f>
        <v>45.8</v>
      </c>
    </row>
    <row r="3" customFormat="false" ht="15" hidden="false" customHeight="false" outlineLevel="0" collapsed="false">
      <c r="A3" s="20"/>
      <c r="B3" s="21"/>
      <c r="C3" s="21"/>
      <c r="D3" s="22"/>
      <c r="E3" s="22"/>
      <c r="F3" s="5" t="n">
        <f aca="false">D3-E3</f>
        <v>0</v>
      </c>
    </row>
    <row r="4" customFormat="false" ht="15" hidden="false" customHeight="false" outlineLevel="0" collapsed="false">
      <c r="A4" s="20"/>
      <c r="B4" s="21"/>
      <c r="C4" s="21"/>
      <c r="D4" s="22"/>
      <c r="E4" s="22"/>
      <c r="F4" s="5" t="n">
        <f aca="false">D4-E4</f>
        <v>0</v>
      </c>
    </row>
    <row r="5" customFormat="false" ht="15" hidden="false" customHeight="false" outlineLevel="0" collapsed="false">
      <c r="A5" s="20"/>
      <c r="B5" s="21"/>
      <c r="C5" s="21"/>
      <c r="D5" s="22"/>
      <c r="E5" s="22"/>
      <c r="F5" s="5" t="n">
        <f aca="false">D5-E5</f>
        <v>0</v>
      </c>
    </row>
    <row r="6" customFormat="false" ht="15" hidden="false" customHeight="false" outlineLevel="0" collapsed="false">
      <c r="A6" s="20"/>
      <c r="B6" s="21"/>
      <c r="C6" s="21"/>
      <c r="D6" s="22"/>
      <c r="E6" s="22"/>
      <c r="F6" s="5" t="n">
        <f aca="false">D6-E6</f>
        <v>0</v>
      </c>
    </row>
    <row r="7" customFormat="false" ht="15" hidden="false" customHeight="false" outlineLevel="0" collapsed="false">
      <c r="A7" s="20"/>
      <c r="B7" s="21"/>
      <c r="C7" s="21"/>
      <c r="D7" s="22"/>
      <c r="E7" s="22"/>
      <c r="F7" s="5" t="n">
        <f aca="false">D7-E7</f>
        <v>0</v>
      </c>
    </row>
    <row r="8" customFormat="false" ht="15" hidden="false" customHeight="false" outlineLevel="0" collapsed="false">
      <c r="A8" s="20"/>
      <c r="B8" s="21"/>
      <c r="C8" s="21"/>
      <c r="D8" s="22"/>
      <c r="E8" s="22"/>
      <c r="F8" s="5" t="n">
        <f aca="false">D8-E8</f>
        <v>0</v>
      </c>
    </row>
    <row r="9" customFormat="false" ht="15" hidden="false" customHeight="false" outlineLevel="0" collapsed="false">
      <c r="A9" s="20"/>
      <c r="B9" s="21"/>
      <c r="C9" s="21"/>
      <c r="D9" s="22"/>
      <c r="E9" s="22"/>
      <c r="F9" s="5" t="n">
        <f aca="false">D9-E9</f>
        <v>0</v>
      </c>
    </row>
    <row r="10" customFormat="false" ht="15" hidden="false" customHeight="false" outlineLevel="0" collapsed="false">
      <c r="A10" s="20"/>
      <c r="B10" s="21"/>
      <c r="C10" s="21"/>
      <c r="D10" s="22"/>
      <c r="E10" s="22"/>
      <c r="F10" s="5" t="n">
        <f aca="false">D10-E10</f>
        <v>0</v>
      </c>
    </row>
    <row r="11" customFormat="false" ht="15" hidden="false" customHeight="false" outlineLevel="0" collapsed="false">
      <c r="A11" s="20"/>
      <c r="B11" s="21"/>
      <c r="C11" s="21"/>
      <c r="D11" s="22"/>
      <c r="E11" s="22"/>
      <c r="F11" s="5" t="n">
        <f aca="false">D11-E11</f>
        <v>0</v>
      </c>
    </row>
    <row r="12" customFormat="false" ht="15" hidden="false" customHeight="false" outlineLevel="0" collapsed="false">
      <c r="A12" s="20"/>
      <c r="B12" s="21"/>
      <c r="C12" s="21"/>
      <c r="D12" s="22"/>
      <c r="E12" s="22"/>
      <c r="F12" s="5" t="n">
        <f aca="false">D12-E12</f>
        <v>0</v>
      </c>
    </row>
    <row r="13" customFormat="false" ht="15" hidden="false" customHeight="false" outlineLevel="0" collapsed="false">
      <c r="A13" s="20"/>
      <c r="B13" s="21"/>
      <c r="C13" s="21"/>
      <c r="D13" s="22"/>
      <c r="E13" s="22"/>
      <c r="F13" s="5" t="n">
        <f aca="false">D13-E13</f>
        <v>0</v>
      </c>
    </row>
    <row r="14" customFormat="false" ht="15" hidden="false" customHeight="false" outlineLevel="0" collapsed="false">
      <c r="A14" s="20"/>
      <c r="B14" s="21"/>
      <c r="C14" s="21"/>
      <c r="D14" s="22"/>
      <c r="E14" s="22"/>
      <c r="F14" s="5" t="n">
        <f aca="false">D14-E14</f>
        <v>0</v>
      </c>
    </row>
    <row r="15" customFormat="false" ht="15" hidden="false" customHeight="false" outlineLevel="0" collapsed="false">
      <c r="A15" s="20"/>
      <c r="B15" s="21"/>
      <c r="C15" s="21"/>
      <c r="D15" s="22"/>
      <c r="E15" s="22"/>
      <c r="F15" s="5" t="n">
        <f aca="false">D15-E15</f>
        <v>0</v>
      </c>
    </row>
    <row r="16" customFormat="false" ht="15" hidden="false" customHeight="false" outlineLevel="0" collapsed="false">
      <c r="A16" s="20"/>
      <c r="B16" s="21"/>
      <c r="C16" s="21"/>
      <c r="D16" s="22"/>
      <c r="E16" s="22"/>
      <c r="F16" s="5" t="n">
        <f aca="false">D16-E16</f>
        <v>0</v>
      </c>
    </row>
    <row r="17" customFormat="false" ht="15" hidden="false" customHeight="false" outlineLevel="0" collapsed="false">
      <c r="A17" s="20"/>
      <c r="B17" s="21"/>
      <c r="C17" s="21"/>
      <c r="D17" s="22"/>
      <c r="E17" s="22"/>
      <c r="F17" s="5" t="n">
        <f aca="false">D17-E17</f>
        <v>0</v>
      </c>
    </row>
    <row r="18" customFormat="false" ht="15" hidden="false" customHeight="false" outlineLevel="0" collapsed="false">
      <c r="A18" s="20"/>
      <c r="B18" s="21"/>
      <c r="C18" s="21"/>
      <c r="D18" s="22"/>
      <c r="E18" s="22"/>
      <c r="F18" s="5" t="n">
        <f aca="false">D18-E18</f>
        <v>0</v>
      </c>
    </row>
    <row r="19" customFormat="false" ht="15" hidden="false" customHeight="false" outlineLevel="0" collapsed="false">
      <c r="A19" s="20"/>
      <c r="B19" s="21"/>
      <c r="C19" s="21"/>
      <c r="D19" s="22"/>
      <c r="E19" s="22"/>
      <c r="F19" s="5" t="n">
        <f aca="false">D19-E19</f>
        <v>0</v>
      </c>
    </row>
    <row r="20" customFormat="false" ht="15" hidden="false" customHeight="false" outlineLevel="0" collapsed="false">
      <c r="A20" s="20"/>
      <c r="B20" s="21"/>
      <c r="C20" s="21"/>
      <c r="D20" s="22"/>
      <c r="E20" s="22"/>
      <c r="F20" s="5" t="n">
        <f aca="false">D20-E20</f>
        <v>0</v>
      </c>
    </row>
    <row r="21" customFormat="false" ht="15" hidden="false" customHeight="false" outlineLevel="0" collapsed="false">
      <c r="A21" s="20"/>
      <c r="B21" s="21"/>
      <c r="C21" s="21"/>
      <c r="D21" s="22"/>
      <c r="E21" s="22"/>
      <c r="F21" s="5" t="n">
        <f aca="false">D21-E21</f>
        <v>0</v>
      </c>
    </row>
    <row r="22" customFormat="false" ht="15" hidden="false" customHeight="false" outlineLevel="0" collapsed="false">
      <c r="A22" s="20"/>
      <c r="B22" s="21"/>
      <c r="C22" s="21"/>
      <c r="D22" s="22"/>
      <c r="E22" s="22"/>
      <c r="F22" s="5" t="n">
        <f aca="false">D22-E22</f>
        <v>0</v>
      </c>
    </row>
    <row r="23" customFormat="false" ht="15" hidden="false" customHeight="false" outlineLevel="0" collapsed="false">
      <c r="A23" s="20"/>
      <c r="B23" s="21"/>
      <c r="C23" s="21"/>
      <c r="D23" s="22"/>
      <c r="E23" s="22"/>
      <c r="F23" s="5" t="n">
        <f aca="false">D23-E23</f>
        <v>0</v>
      </c>
    </row>
    <row r="24" customFormat="false" ht="15" hidden="false" customHeight="false" outlineLevel="0" collapsed="false">
      <c r="A24" s="20"/>
      <c r="B24" s="21"/>
      <c r="C24" s="21"/>
      <c r="D24" s="22"/>
      <c r="E24" s="22"/>
      <c r="F24" s="5" t="n">
        <f aca="false">D24-E24</f>
        <v>0</v>
      </c>
    </row>
    <row r="25" customFormat="false" ht="15" hidden="false" customHeight="false" outlineLevel="0" collapsed="false">
      <c r="A25" s="20"/>
      <c r="B25" s="21"/>
      <c r="C25" s="21"/>
      <c r="D25" s="22"/>
      <c r="E25" s="22"/>
      <c r="F25" s="5" t="n">
        <f aca="false">D25-E25</f>
        <v>0</v>
      </c>
    </row>
    <row r="26" customFormat="false" ht="15" hidden="false" customHeight="false" outlineLevel="0" collapsed="false">
      <c r="A26" s="20"/>
      <c r="B26" s="21"/>
      <c r="C26" s="21"/>
      <c r="D26" s="22"/>
      <c r="E26" s="22"/>
      <c r="F26" s="5" t="n">
        <f aca="false">D26-E26</f>
        <v>0</v>
      </c>
    </row>
    <row r="27" customFormat="false" ht="15" hidden="false" customHeight="false" outlineLevel="0" collapsed="false">
      <c r="A27" s="20"/>
      <c r="B27" s="21"/>
      <c r="C27" s="21"/>
      <c r="D27" s="22"/>
      <c r="E27" s="22"/>
      <c r="F27" s="5" t="n">
        <f aca="false">D27-E27</f>
        <v>0</v>
      </c>
    </row>
    <row r="28" customFormat="false" ht="15" hidden="false" customHeight="false" outlineLevel="0" collapsed="false">
      <c r="A28" s="20"/>
      <c r="B28" s="21"/>
      <c r="C28" s="21"/>
      <c r="D28" s="22"/>
      <c r="E28" s="22"/>
      <c r="F28" s="5" t="n">
        <f aca="false">D28-E28</f>
        <v>0</v>
      </c>
    </row>
    <row r="29" customFormat="false" ht="15" hidden="false" customHeight="false" outlineLevel="0" collapsed="false">
      <c r="A29" s="20"/>
      <c r="B29" s="21"/>
      <c r="C29" s="21"/>
      <c r="D29" s="22"/>
      <c r="E29" s="22"/>
      <c r="F29" s="5" t="n">
        <f aca="false">D29-E29</f>
        <v>0</v>
      </c>
    </row>
    <row r="30" customFormat="false" ht="15" hidden="false" customHeight="false" outlineLevel="0" collapsed="false">
      <c r="A30" s="20"/>
      <c r="B30" s="21"/>
      <c r="C30" s="21"/>
      <c r="D30" s="22"/>
      <c r="E30" s="22"/>
      <c r="F30" s="5" t="n">
        <f aca="false">D30-E30</f>
        <v>0</v>
      </c>
    </row>
    <row r="31" customFormat="false" ht="15" hidden="false" customHeight="false" outlineLevel="0" collapsed="false">
      <c r="A31" s="20"/>
      <c r="B31" s="21"/>
      <c r="C31" s="21"/>
      <c r="D31" s="22"/>
      <c r="E31" s="22"/>
      <c r="F31" s="5" t="n">
        <f aca="false">D31-E31</f>
        <v>0</v>
      </c>
    </row>
    <row r="32" customFormat="false" ht="15" hidden="false" customHeight="false" outlineLevel="0" collapsed="false">
      <c r="A32" s="20"/>
      <c r="B32" s="21"/>
      <c r="C32" s="21"/>
      <c r="D32" s="22"/>
      <c r="E32" s="22"/>
      <c r="F32" s="5" t="n">
        <f aca="false">D32-E32</f>
        <v>0</v>
      </c>
    </row>
    <row r="34" customFormat="false" ht="15" hidden="false" customHeight="false" outlineLevel="0" collapsed="false">
      <c r="A34" s="6" t="s">
        <v>63</v>
      </c>
      <c r="B34" s="7"/>
      <c r="C34" s="6" t="n">
        <f aca="false">SUM(C2:C33)</f>
        <v>10</v>
      </c>
      <c r="D34" s="8" t="n">
        <f aca="false">SUM(D2:D33)</f>
        <v>70</v>
      </c>
      <c r="E34" s="8" t="n">
        <f aca="false">SUM(E2:E33)</f>
        <v>24.2</v>
      </c>
      <c r="F34" s="8" t="n">
        <f aca="false">SUM(F2:F33)</f>
        <v>45.8</v>
      </c>
    </row>
    <row r="36" customFormat="false" ht="15" hidden="false" customHeight="false" outlineLevel="0" collapsed="false">
      <c r="A36" s="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customFormat="false" ht="15" hidden="false" customHeight="false" outlineLevel="0" collapsed="false">
      <c r="A2" s="23" t="s">
        <v>79</v>
      </c>
      <c r="B2" s="4" t="n">
        <v>1350</v>
      </c>
      <c r="C2" s="4" t="n">
        <v>2000</v>
      </c>
      <c r="D2" s="4" t="n">
        <v>2950</v>
      </c>
      <c r="E2" s="4" t="n">
        <v>3700</v>
      </c>
      <c r="F2" s="4" t="n">
        <v>4450</v>
      </c>
      <c r="G2" s="4" t="n">
        <v>5200</v>
      </c>
      <c r="H2" s="4" t="n">
        <v>5750</v>
      </c>
      <c r="I2" s="4" t="n">
        <v>6300</v>
      </c>
      <c r="J2" s="4" t="n">
        <v>6850</v>
      </c>
      <c r="K2" s="4" t="n">
        <v>7400</v>
      </c>
      <c r="L2" s="4" t="n">
        <v>7900</v>
      </c>
      <c r="M2" s="4" t="n">
        <v>8400</v>
      </c>
      <c r="N2" s="24" t="n">
        <f aca="false">SUM(B2:M2)</f>
        <v>62250</v>
      </c>
    </row>
    <row r="3" customFormat="false" ht="15" hidden="false" customHeight="false" outlineLevel="0" collapsed="false">
      <c r="A3" s="2" t="s">
        <v>80</v>
      </c>
      <c r="B3" s="4" t="n">
        <v>429</v>
      </c>
      <c r="C3" s="4" t="n">
        <v>608</v>
      </c>
      <c r="D3" s="4" t="n">
        <v>858</v>
      </c>
      <c r="E3" s="4" t="n">
        <v>1053</v>
      </c>
      <c r="F3" s="4" t="n">
        <v>1248</v>
      </c>
      <c r="G3" s="4" t="n">
        <v>1443</v>
      </c>
      <c r="H3" s="4" t="n">
        <v>1583</v>
      </c>
      <c r="I3" s="4" t="n">
        <v>1716</v>
      </c>
      <c r="J3" s="4" t="n">
        <v>1856</v>
      </c>
      <c r="K3" s="4" t="n">
        <v>1989</v>
      </c>
      <c r="L3" s="4" t="n">
        <v>2106</v>
      </c>
      <c r="M3" s="4" t="n">
        <v>2223</v>
      </c>
      <c r="N3" s="5" t="n">
        <f aca="false">SUM(B3:M3)</f>
        <v>17112</v>
      </c>
    </row>
    <row r="4" customFormat="false" ht="15" hidden="false" customHeight="false" outlineLevel="0" collapsed="false">
      <c r="A4" s="2" t="s">
        <v>81</v>
      </c>
      <c r="B4" s="4" t="n">
        <v>66</v>
      </c>
      <c r="C4" s="4" t="n">
        <v>94</v>
      </c>
      <c r="D4" s="4" t="n">
        <v>132</v>
      </c>
      <c r="E4" s="4" t="n">
        <v>162</v>
      </c>
      <c r="F4" s="4" t="n">
        <v>192</v>
      </c>
      <c r="G4" s="4" t="n">
        <v>222</v>
      </c>
      <c r="H4" s="4" t="n">
        <v>244</v>
      </c>
      <c r="I4" s="4" t="n">
        <v>264</v>
      </c>
      <c r="J4" s="4" t="n">
        <v>286</v>
      </c>
      <c r="K4" s="4" t="n">
        <v>306</v>
      </c>
      <c r="L4" s="4" t="n">
        <v>324</v>
      </c>
      <c r="M4" s="4" t="n">
        <v>342</v>
      </c>
      <c r="N4" s="5" t="n">
        <f aca="false">SUM(B4:M4)</f>
        <v>2634</v>
      </c>
    </row>
    <row r="5" customFormat="false" ht="15" hidden="false" customHeight="false" outlineLevel="0" collapsed="false">
      <c r="A5" s="2" t="s">
        <v>82</v>
      </c>
      <c r="B5" s="4" t="n">
        <v>33</v>
      </c>
      <c r="C5" s="4" t="n">
        <v>47</v>
      </c>
      <c r="D5" s="4" t="n">
        <v>66</v>
      </c>
      <c r="E5" s="4" t="n">
        <v>81</v>
      </c>
      <c r="F5" s="4" t="n">
        <v>96</v>
      </c>
      <c r="G5" s="4" t="n">
        <v>111</v>
      </c>
      <c r="H5" s="4" t="n">
        <v>122</v>
      </c>
      <c r="I5" s="4" t="n">
        <v>132</v>
      </c>
      <c r="J5" s="4" t="n">
        <v>143</v>
      </c>
      <c r="K5" s="4" t="n">
        <v>153</v>
      </c>
      <c r="L5" s="4" t="n">
        <v>162</v>
      </c>
      <c r="M5" s="4" t="n">
        <v>171</v>
      </c>
      <c r="N5" s="5" t="n">
        <f aca="false">SUM(B5:M5)</f>
        <v>1317</v>
      </c>
    </row>
    <row r="6" customFormat="false" ht="15" hidden="false" customHeight="false" outlineLevel="0" collapsed="false">
      <c r="A6" s="2" t="s">
        <v>83</v>
      </c>
      <c r="B6" s="4" t="n">
        <v>22</v>
      </c>
      <c r="C6" s="4" t="n">
        <v>31</v>
      </c>
      <c r="D6" s="4" t="n">
        <v>44</v>
      </c>
      <c r="E6" s="4" t="n">
        <v>54</v>
      </c>
      <c r="F6" s="4" t="n">
        <v>64</v>
      </c>
      <c r="G6" s="4" t="n">
        <v>74</v>
      </c>
      <c r="H6" s="4" t="n">
        <v>81</v>
      </c>
      <c r="I6" s="4" t="n">
        <v>88</v>
      </c>
      <c r="J6" s="4" t="n">
        <v>95</v>
      </c>
      <c r="K6" s="4" t="n">
        <v>102</v>
      </c>
      <c r="L6" s="4" t="n">
        <v>108</v>
      </c>
      <c r="M6" s="4" t="n">
        <v>114</v>
      </c>
      <c r="N6" s="5" t="n">
        <f aca="false">SUM(B6:M6)</f>
        <v>877</v>
      </c>
    </row>
    <row r="7" customFormat="false" ht="15" hidden="false" customHeight="false" outlineLevel="0" collapsed="false">
      <c r="A7" s="6" t="s">
        <v>84</v>
      </c>
      <c r="B7" s="8" t="n">
        <f aca="false">B2-SUM(B3:B6)</f>
        <v>800</v>
      </c>
      <c r="C7" s="8" t="n">
        <f aca="false">C2-SUM(C3:C6)</f>
        <v>1220</v>
      </c>
      <c r="D7" s="8" t="n">
        <f aca="false">D2-SUM(D3:D6)</f>
        <v>1850</v>
      </c>
      <c r="E7" s="8" t="n">
        <f aca="false">E2-SUM(E3:E6)</f>
        <v>2350</v>
      </c>
      <c r="F7" s="8" t="n">
        <f aca="false">F2-SUM(F3:F6)</f>
        <v>2850</v>
      </c>
      <c r="G7" s="8" t="n">
        <f aca="false">G2-SUM(G3:G6)</f>
        <v>3350</v>
      </c>
      <c r="H7" s="8" t="n">
        <f aca="false">H2-SUM(H3:H6)</f>
        <v>3720</v>
      </c>
      <c r="I7" s="8" t="n">
        <f aca="false">I2-SUM(I3:I6)</f>
        <v>4100</v>
      </c>
      <c r="J7" s="8" t="n">
        <f aca="false">J2-SUM(J3:J6)</f>
        <v>4470</v>
      </c>
      <c r="K7" s="8" t="n">
        <f aca="false">K2-SUM(K3:K6)</f>
        <v>4850</v>
      </c>
      <c r="L7" s="8" t="n">
        <f aca="false">L2-SUM(L3:L6)</f>
        <v>5200</v>
      </c>
      <c r="M7" s="8" t="n">
        <f aca="false">M2-SUM(M3:M6)</f>
        <v>5550</v>
      </c>
      <c r="N7" s="8" t="n">
        <f aca="false">N2-SUM(N3:N6)</f>
        <v>40310</v>
      </c>
    </row>
    <row r="9" customFormat="false" ht="15" hidden="false" customHeight="false" outlineLevel="0" collapsed="false">
      <c r="A9" s="9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2026-08-07T16:00:43Z</dcterms:created>
  <dc:creator>openpyxl</dc:creator>
  <dc:description/>
  <dc:language>en-US</dc:language>
  <cp:lastModifiedBy/>
  <dcterms:modified xsi:type="dcterms:W3CDTF">2026-08-07T16:00:43Z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