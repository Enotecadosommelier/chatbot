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s &amp; Ponto Equilíbrio" sheetId="1" state="visible" r:id="rId3"/>
    <sheet name="Fichas Técnicas - Pães" sheetId="2" state="visible" r:id="rId4"/>
    <sheet name="Fichas Técnicas - Sobremesas" sheetId="3" state="visible" r:id="rId5"/>
    <sheet name="Cardápio &amp; Preços" sheetId="4" state="visible" r:id="rId6"/>
    <sheet name="Painel Saúde do Negóci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<sst xmlns="http://schemas.openxmlformats.org/spreadsheetml/2006/main" count="520" uniqueCount="239">
  <si>
    <t xml:space="preserve">🏠  CUSTOS FIXOS, VARIÁVEIS &amp; PONTO DE EQUILÍBRIO  |  CASA RECHEADA</t>
  </si>
  <si>
    <t xml:space="preserve">  ⚙️  PARÂMETROS DO NEGÓCIO</t>
  </si>
  <si>
    <t xml:space="preserve">CMV Meta Máximo — Alerta Vermelho %</t>
  </si>
  <si>
    <t xml:space="preserve">% do preço de venda</t>
  </si>
  <si>
    <t xml:space="preserve">CMV Atenção — Alerta Amarelo %</t>
  </si>
  <si>
    <t xml:space="preserve">faixa de atenção</t>
  </si>
  <si>
    <t xml:space="preserve">Markup Pães Recheados</t>
  </si>
  <si>
    <t xml:space="preserve">2.9 = preço é 2,9x o custo</t>
  </si>
  <si>
    <t xml:space="preserve">Markup Sobremesas Gourmet</t>
  </si>
  <si>
    <t xml:space="preserve">3.0 = preço é 3,0x o custo</t>
  </si>
  <si>
    <t xml:space="preserve">Fator de Desperdício Operacional %</t>
  </si>
  <si>
    <t xml:space="preserve">perda de insumos / erro de produção</t>
  </si>
  <si>
    <t xml:space="preserve">Dias de produção / mês</t>
  </si>
  <si>
    <t xml:space="preserve">dias</t>
  </si>
  <si>
    <t xml:space="preserve">Ticket médio por pedido R$</t>
  </si>
  <si>
    <t xml:space="preserve">⚠️ VALIDAR EM CAMPO nas primeiras semanas</t>
  </si>
  <si>
    <t xml:space="preserve">Meta de lucro sobre o Ponto de Equilíbrio %</t>
  </si>
  <si>
    <t xml:space="preserve">usado no faturamento-meta abaixo</t>
  </si>
  <si>
    <t xml:space="preserve">  🏠  CUSTOS FIXOS MENSAIS  (sem aluguel — produção em residência)</t>
  </si>
  <si>
    <t xml:space="preserve">Item de Custo Fixo</t>
  </si>
  <si>
    <t xml:space="preserve">Mês 1</t>
  </si>
  <si>
    <t xml:space="preserve">Mês 2</t>
  </si>
  <si>
    <t xml:space="preserve">Mês 3</t>
  </si>
  <si>
    <t xml:space="preserve">Mês 4</t>
  </si>
  <si>
    <t xml:space="preserve">Mês 5</t>
  </si>
  <si>
    <t xml:space="preserve">Mês 6</t>
  </si>
  <si>
    <t xml:space="preserve">Total Sem.</t>
  </si>
  <si>
    <t xml:space="preserve">Média Mês</t>
  </si>
  <si>
    <t xml:space="preserve">Gás de cozinha (uso do negócio)</t>
  </si>
  <si>
    <t xml:space="preserve">Energia elétrica (parcela do negócio)</t>
  </si>
  <si>
    <t xml:space="preserve">Água (parcela do negócio)</t>
  </si>
  <si>
    <t xml:space="preserve">MEI — DAS mensal</t>
  </si>
  <si>
    <t xml:space="preserve">Internet / WhatsApp Business</t>
  </si>
  <si>
    <t xml:space="preserve">Manutenção de equipamentos</t>
  </si>
  <si>
    <t xml:space="preserve">Marketing / Redes sociais (impulsionamento)</t>
  </si>
  <si>
    <t xml:space="preserve">TOTAL CUSTOS FIXOS</t>
  </si>
  <si>
    <t xml:space="preserve">  📦  CUSTOS VARIÁVEIS MENSAIS</t>
  </si>
  <si>
    <t xml:space="preserve">Item Variável</t>
  </si>
  <si>
    <t xml:space="preserve">CMV Insumos — Pães Recheados</t>
  </si>
  <si>
    <t xml:space="preserve">CMV Insumos — Sobremesas Gourmet</t>
  </si>
  <si>
    <t xml:space="preserve">Embalagens e etiquetas</t>
  </si>
  <si>
    <t xml:space="preserve">Gás/insumos extras de produção</t>
  </si>
  <si>
    <t xml:space="preserve">Material de limpeza / descartáveis</t>
  </si>
  <si>
    <t xml:space="preserve">Outros variáveis</t>
  </si>
  <si>
    <t xml:space="preserve">TOTAL CUSTOS VARIÁVEIS</t>
  </si>
  <si>
    <t xml:space="preserve">  🎯  PONTO DE EQUILÍBRIO — CASA RECHEADA (cenário linear)</t>
  </si>
  <si>
    <t xml:space="preserve">Custo Fixo Médio Mensal R$</t>
  </si>
  <si>
    <t xml:space="preserve">Custo Variável Médio Mensal R$</t>
  </si>
  <si>
    <t xml:space="preserve">Custo Total Mensal R$</t>
  </si>
  <si>
    <t xml:space="preserve">Margem de Contribuição % (100% - CMV meta)</t>
  </si>
  <si>
    <t xml:space="preserve">PONTO DE EQUILÍBRIO MENSAL R$</t>
  </si>
  <si>
    <t xml:space="preserve">Ponto de Equilíbrio DIÁRIO R$</t>
  </si>
  <si>
    <t xml:space="preserve">Pedidos/dia para atingir o PE (ticket médio)</t>
  </si>
  <si>
    <t xml:space="preserve">Faturamento Meta de Lucro R$/mês</t>
  </si>
  <si>
    <t xml:space="preserve">  📅  CENÁRIO COM SAZONALIDADE (datas comemorativas x período de vale)</t>
  </si>
  <si>
    <t xml:space="preserve">Fator Mês de Pico (Páscoa / Dia das Mães / Natal)</t>
  </si>
  <si>
    <t xml:space="preserve">aumento de demanda em datas comemorativas</t>
  </si>
  <si>
    <t xml:space="preserve">Fator Mês de Vale (janeiro / férias escolares)</t>
  </si>
  <si>
    <t xml:space="preserve">queda de demanda</t>
  </si>
  <si>
    <t xml:space="preserve">Reserva de Capital de Giro (meses)</t>
  </si>
  <si>
    <t xml:space="preserve">padrão recomendado antes de abrir</t>
  </si>
  <si>
    <t xml:space="preserve">PE no Mês de Vale — Faturamento Necessário R$</t>
  </si>
  <si>
    <t xml:space="preserve">Caixa Mínimo p/ Sobreviver ao Vale (1 mês) R$</t>
  </si>
  <si>
    <t xml:space="preserve">RESERVA DE CAPITAL DE GIRO NECESSÁRIA R$</t>
  </si>
  <si>
    <t xml:space="preserve">  💰  ORÇAMENTO DE ABERTURA (CAPEX) — investimento inicial</t>
  </si>
  <si>
    <t xml:space="preserve">Item de Investimento Inicial</t>
  </si>
  <si>
    <t xml:space="preserve">Estimativa Mínima R$</t>
  </si>
  <si>
    <t xml:space="preserve">Estimativa Máxima R$</t>
  </si>
  <si>
    <t xml:space="preserve">Obs</t>
  </si>
  <si>
    <t xml:space="preserve">Freezer horizontal 300L</t>
  </si>
  <si>
    <t xml:space="preserve">Geladeira duplex (se não houver disponível em casa)</t>
  </si>
  <si>
    <t xml:space="preserve">0 se já possuir uma reservável</t>
  </si>
  <si>
    <t xml:space="preserve">Batedeira planetária 5L</t>
  </si>
  <si>
    <t xml:space="preserve">Liquidificador profissional</t>
  </si>
  <si>
    <t xml:space="preserve">Forno elétrico de bancada 45L</t>
  </si>
  <si>
    <t xml:space="preserve">Assadeiras + utensílios diversos</t>
  </si>
  <si>
    <t xml:space="preserve">Balança digital de precisão</t>
  </si>
  <si>
    <t xml:space="preserve">Seladora de embalagens</t>
  </si>
  <si>
    <t xml:space="preserve">Bancada de produção em inox</t>
  </si>
  <si>
    <t xml:space="preserve">Embalagens + etiquetas (estoque inicial)</t>
  </si>
  <si>
    <t xml:space="preserve">EPI + identidade visual / banner</t>
  </si>
  <si>
    <t xml:space="preserve">Capital de Giro (reserva calculada acima)</t>
  </si>
  <si>
    <t xml:space="preserve">já calculado acima</t>
  </si>
  <si>
    <t xml:space="preserve">💰 TOTAL INVESTIMENTO INICIAL NECESSÁRIO</t>
  </si>
  <si>
    <t xml:space="preserve">⚠️ some este valor antes de comprometer qualquer real no projeto</t>
  </si>
  <si>
    <t xml:space="preserve">  ✏️  Células AZUIS = editáveis  |  PRETO = fórmulas  |  CMV ≤ Atenção = 🟢  |  entre Atenção e Meta = 🟡  |  acima da Meta = 🔴</t>
  </si>
  <si>
    <t xml:space="preserve">🥖  FICHAS TÉCNICAS — PÃES RECHEADOS ARTESANAIS  |  CASA RECHEADA</t>
  </si>
  <si>
    <t xml:space="preserve">  ⚙️  PARÂMETROS (referenciam a aba Custos &amp; Ponto Equilíbrio)</t>
  </si>
  <si>
    <t xml:space="preserve">Markup Pães</t>
  </si>
  <si>
    <t xml:space="preserve">Desperdício Operacional</t>
  </si>
  <si>
    <t xml:space="preserve">CMV Meta</t>
  </si>
  <si>
    <t xml:space="preserve">💡 AZUL = editável | PRETO = fórmula</t>
  </si>
  <si>
    <t xml:space="preserve">🥖  PÃO RECHEADO FRANGO + QUEIJO   [P001]  —  bastonete italiano ~90g, rende 20 unidades</t>
  </si>
  <si>
    <t xml:space="preserve">Ingrediente</t>
  </si>
  <si>
    <t xml:space="preserve">Unid.</t>
  </si>
  <si>
    <t xml:space="preserve">Qtd. Receita
(lote)</t>
  </si>
  <si>
    <t xml:space="preserve">Preço
Compra R$</t>
  </si>
  <si>
    <t xml:space="preserve">Custo
Bruto R$</t>
  </si>
  <si>
    <t xml:space="preserve">F.
Correção</t>
  </si>
  <si>
    <t xml:space="preserve">Custo
Líquido R$</t>
  </si>
  <si>
    <t xml:space="preserve">% no
Produto</t>
  </si>
  <si>
    <t xml:space="preserve">Obs / Fornecedor</t>
  </si>
  <si>
    <t xml:space="preserve">Atualizado em</t>
  </si>
  <si>
    <t xml:space="preserve">Farinha de trigo</t>
  </si>
  <si>
    <t xml:space="preserve">g</t>
  </si>
  <si>
    <t xml:space="preserve">Atacarejo local</t>
  </si>
  <si>
    <t xml:space="preserve">Fermento biológico seco</t>
  </si>
  <si>
    <t xml:space="preserve">Açúcar</t>
  </si>
  <si>
    <t xml:space="preserve">Sal</t>
  </si>
  <si>
    <t xml:space="preserve">Ovos</t>
  </si>
  <si>
    <t xml:space="preserve">un</t>
  </si>
  <si>
    <t xml:space="preserve">Leite</t>
  </si>
  <si>
    <t xml:space="preserve">ml</t>
  </si>
  <si>
    <t xml:space="preserve">Manteiga</t>
  </si>
  <si>
    <t xml:space="preserve">Frango (peito) cozido e desfiado</t>
  </si>
  <si>
    <t xml:space="preserve">perda de apara/gordura</t>
  </si>
  <si>
    <t xml:space="preserve">Queijo muçarela ralado</t>
  </si>
  <si>
    <t xml:space="preserve">Requeijão</t>
  </si>
  <si>
    <t xml:space="preserve">Temperos (cebola, alho, sal, cheiro-verde)</t>
  </si>
  <si>
    <t xml:space="preserve">vb</t>
  </si>
  <si>
    <t xml:space="preserve">verba estimada</t>
  </si>
  <si>
    <t xml:space="preserve">Embalagem (saco kraft + etiqueta)</t>
  </si>
  <si>
    <t xml:space="preserve">p/ lote de 20un</t>
  </si>
  <si>
    <t xml:space="preserve">💵  CUSTO TOTAL DO LOTE — SEM PERDA (R$)</t>
  </si>
  <si>
    <t xml:space="preserve">⚠️  CUSTO REAL c/ DESPERDÍCIO OPERACIONAL</t>
  </si>
  <si>
    <t xml:space="preserve">📦  RENDIMENTO DA RECEITA (unidades)</t>
  </si>
  <si>
    <t xml:space="preserve">🔹  CUSTO UNITÁRIO (R$/un)</t>
  </si>
  <si>
    <t xml:space="preserve">🏷️  PREÇO DE VENDA SUGERIDO (R$/un) — Markup</t>
  </si>
  <si>
    <t xml:space="preserve">📊  CMV % real (meta e alerta na aba Custos)</t>
  </si>
  <si>
    <t xml:space="preserve">📈  MARGEM DE LUCRO (%)</t>
  </si>
  <si>
    <t xml:space="preserve">🥖  PÃO RECHEADO CALABRESA + QUEIJO   [P002]  —  bastonete italiano ~90g, rende 20 unidades</t>
  </si>
  <si>
    <t xml:space="preserve">Calabresa moída/fatiada</t>
  </si>
  <si>
    <t xml:space="preserve">Mercado local</t>
  </si>
  <si>
    <t xml:space="preserve">Cebola / temperos</t>
  </si>
  <si>
    <t xml:space="preserve">🥖  PÃO RECHEADO PRESUNTO + QUEIJO   [P003]  —  bastonete italiano ~90g, rende 20 unidades</t>
  </si>
  <si>
    <t xml:space="preserve">Presunto fatiado</t>
  </si>
  <si>
    <t xml:space="preserve">🥖  PÃO RECHEADO RÚCULA + QUEIJO   [P004]  —  bastonete italiano ~90g, rende 20 unidades</t>
  </si>
  <si>
    <t xml:space="preserve">Rúcula fresca</t>
  </si>
  <si>
    <t xml:space="preserve">un (maço)</t>
  </si>
  <si>
    <t xml:space="preserve">perda de folhas</t>
  </si>
  <si>
    <t xml:space="preserve">Queijo/ricota</t>
  </si>
  <si>
    <t xml:space="preserve">Tomate seco</t>
  </si>
  <si>
    <t xml:space="preserve">🍰  FICHAS TÉCNICAS — SOBREMESAS GOURMET NO POTE  |  CASA RECHEADA</t>
  </si>
  <si>
    <t xml:space="preserve">Markup Sobremesas</t>
  </si>
  <si>
    <t xml:space="preserve">🍫  MOUSSE DE CHOCOLATE   [S001]  —  pote 200ml, rende 10 unidades</t>
  </si>
  <si>
    <t xml:space="preserve">Chocolate meio amargo</t>
  </si>
  <si>
    <t xml:space="preserve">Creme de leite</t>
  </si>
  <si>
    <t xml:space="preserve">un (cx 200g)</t>
  </si>
  <si>
    <t xml:space="preserve">Leite condensado</t>
  </si>
  <si>
    <t xml:space="preserve">un (lata)</t>
  </si>
  <si>
    <t xml:space="preserve">Claras de ovo</t>
  </si>
  <si>
    <t xml:space="preserve">Embalagem (pote 200ml + tampa + etiqueta)</t>
  </si>
  <si>
    <t xml:space="preserve">p/ lote de 10un</t>
  </si>
  <si>
    <t xml:space="preserve">🥭  MOUSSE DE MARACUJÁ   [S002]  —  pote 200ml, rende 10 unidades</t>
  </si>
  <si>
    <t xml:space="preserve">Suco concentrado de maracujá</t>
  </si>
  <si>
    <t xml:space="preserve">Gelatina incolor sem sabor</t>
  </si>
  <si>
    <t xml:space="preserve">un (envelope)</t>
  </si>
  <si>
    <t xml:space="preserve">🍋  MOUSSE DE LIMÃO   [S003]  —  pote 200ml, rende 10 unidades</t>
  </si>
  <si>
    <t xml:space="preserve">Suco e raspas de limão</t>
  </si>
  <si>
    <t xml:space="preserve">perda de casca/raspas</t>
  </si>
  <si>
    <t xml:space="preserve">🍌  BANOFFEE NO POTE   [S004]  —  pote 200ml, rende 8 unidades</t>
  </si>
  <si>
    <t xml:space="preserve">Bolacha triturada (base)</t>
  </si>
  <si>
    <t xml:space="preserve">Doce de leite</t>
  </si>
  <si>
    <t xml:space="preserve">Banana</t>
  </si>
  <si>
    <t xml:space="preserve">perda de casca/pontas</t>
  </si>
  <si>
    <t xml:space="preserve">Chantilly</t>
  </si>
  <si>
    <t xml:space="preserve">Chocolate em raspas (finalização)</t>
  </si>
  <si>
    <t xml:space="preserve">p/ lote de 8un</t>
  </si>
  <si>
    <t xml:space="preserve">🍮  PAVÊ NO POTE   [S005]  —  pote 200ml, rende 10 unidades</t>
  </si>
  <si>
    <t xml:space="preserve">Biscoito champanhe/maisena</t>
  </si>
  <si>
    <t xml:space="preserve">Chocolate em pó (finalização)</t>
  </si>
  <si>
    <t xml:space="preserve">📋  CASA RECHEADA — CARDÁPIO MESTRE &amp; CONTROLE DE CMV</t>
  </si>
  <si>
    <t xml:space="preserve">  TODOS OS ITENS DO CARDÁPIO — VINCULADOS ÀS FICHAS TÉCNICAS</t>
  </si>
  <si>
    <t xml:space="preserve">#</t>
  </si>
  <si>
    <t xml:space="preserve">Produto / Item</t>
  </si>
  <si>
    <t xml:space="preserve">Categoria</t>
  </si>
  <si>
    <t xml:space="preserve">Custo Unit. R$</t>
  </si>
  <si>
    <t xml:space="preserve">Preço Venda R$</t>
  </si>
  <si>
    <t xml:space="preserve">CMV %</t>
  </si>
  <si>
    <t xml:space="preserve">Markup</t>
  </si>
  <si>
    <t xml:space="preserve">Status</t>
  </si>
  <si>
    <t xml:space="preserve">  ▶  PÃES RECHEADOS</t>
  </si>
  <si>
    <t xml:space="preserve">P001</t>
  </si>
  <si>
    <t xml:space="preserve">🥖  PÃO RECHEADO FRANGO + QUEIJO</t>
  </si>
  <si>
    <t xml:space="preserve">PÃO</t>
  </si>
  <si>
    <t xml:space="preserve">P002</t>
  </si>
  <si>
    <t xml:space="preserve">🥖  PÃO RECHEADO CALABRESA + QUEIJO</t>
  </si>
  <si>
    <t xml:space="preserve">P003</t>
  </si>
  <si>
    <t xml:space="preserve">🥖  PÃO RECHEADO PRESUNTO + QUEIJO</t>
  </si>
  <si>
    <t xml:space="preserve">P004</t>
  </si>
  <si>
    <t xml:space="preserve">🥖  PÃO RECHEADO RÚCULA + QUEIJO</t>
  </si>
  <si>
    <t xml:space="preserve">  ▶  SOBREMESAS GOURMET</t>
  </si>
  <si>
    <t xml:space="preserve">S001</t>
  </si>
  <si>
    <t xml:space="preserve">🍫  MOUSSE DE CHOCOLATE</t>
  </si>
  <si>
    <t xml:space="preserve">SOBREMESA</t>
  </si>
  <si>
    <t xml:space="preserve">S002</t>
  </si>
  <si>
    <t xml:space="preserve">🥭  MOUSSE DE MARACUJÁ</t>
  </si>
  <si>
    <t xml:space="preserve">S003</t>
  </si>
  <si>
    <t xml:space="preserve">🍋  MOUSSE DE LIMÃO</t>
  </si>
  <si>
    <t xml:space="preserve">S004</t>
  </si>
  <si>
    <t xml:space="preserve">🍌  BANOFFEE NO POTE</t>
  </si>
  <si>
    <t xml:space="preserve">S005</t>
  </si>
  <si>
    <t xml:space="preserve">🍮  PAVÊ NO POTE</t>
  </si>
  <si>
    <t xml:space="preserve">MÉDIA / TOTAL DO CARDÁPIO</t>
  </si>
  <si>
    <t xml:space="preserve">  Status: 🟢 CMV até a faixa de Atenção (ideal) | 🟡 entre Atenção e Meta (monitorar) | 🔴 acima da Meta (revisar preço ou receita). Preço de venda é sugerido pelo markup da categoria — ajuste manualmente na ficha técnica se praticar outro preço.</t>
  </si>
  <si>
    <t xml:space="preserve">📊  PAINEL DE SAÚDE FINANCEIRA  |  CASA RECHEADA</t>
  </si>
  <si>
    <t xml:space="preserve">  🔑  KPIs DO MÊS ATUAL</t>
  </si>
  <si>
    <t xml:space="preserve">FATURAMENTO R$</t>
  </si>
  <si>
    <t xml:space="preserve">CMV TOTAL R$</t>
  </si>
  <si>
    <t xml:space="preserve">CUSTO FIXO R$</t>
  </si>
  <si>
    <t xml:space="preserve">LUCRO LÍQUIDO R$</t>
  </si>
  <si>
    <t xml:space="preserve">MARGEM %</t>
  </si>
  <si>
    <t xml:space="preserve">  💰  FATURAMENTO POR CANAL</t>
  </si>
  <si>
    <t xml:space="preserve">Canal</t>
  </si>
  <si>
    <t xml:space="preserve">WhatsApp direto</t>
  </si>
  <si>
    <t xml:space="preserve">Instagram</t>
  </si>
  <si>
    <t xml:space="preserve">Indicação / boca a boca</t>
  </si>
  <si>
    <t xml:space="preserve">Eventos / encomendas</t>
  </si>
  <si>
    <t xml:space="preserve">Outros</t>
  </si>
  <si>
    <t xml:space="preserve">FATURAMENTO TOTAL</t>
  </si>
  <si>
    <t xml:space="preserve">  📦  CMV REAL POR CATEGORIA</t>
  </si>
  <si>
    <t xml:space="preserve">Categoria CMV</t>
  </si>
  <si>
    <t xml:space="preserve">CMV Pães Recheados</t>
  </si>
  <si>
    <t xml:space="preserve">CMV Sobremesas Gourmet</t>
  </si>
  <si>
    <t xml:space="preserve">CMV Embalagens/Etiquetas</t>
  </si>
  <si>
    <t xml:space="preserve">CMV TOTAL</t>
  </si>
  <si>
    <t xml:space="preserve">CMV % DO FATURAMENTO</t>
  </si>
  <si>
    <t xml:space="preserve">  📈  RESULTADO MENSAL (Mês 1 como referência)</t>
  </si>
  <si>
    <t xml:space="preserve">Faturamento Total (Mês 1)</t>
  </si>
  <si>
    <t xml:space="preserve">(-) CMV Total (Mês 1)</t>
  </si>
  <si>
    <t xml:space="preserve">(-) Custo Fixo Médio Mensal</t>
  </si>
  <si>
    <t xml:space="preserve">(-) Outros Custos Variáveis (limpeza, gás extra etc.)</t>
  </si>
  <si>
    <t xml:space="preserve">LUCRO LÍQUIDO R$ (Mês 1)</t>
  </si>
  <si>
    <t xml:space="preserve">MARGEM LÍQUIDA % (Mês 1)</t>
  </si>
  <si>
    <t xml:space="preserve">  🔴  CAPITAL &amp; INVESTIMENTO INICIAL</t>
  </si>
  <si>
    <t xml:space="preserve">Reserva de Capital de Giro Necessária (R$)</t>
  </si>
  <si>
    <t xml:space="preserve">Investimento Inicial Total Estimado — Mín. (R$)</t>
  </si>
  <si>
    <t xml:space="preserve">🔴 TOTAL NECESSÁRIO ANTES DE ABRIR (Giro + CAPEX)</t>
  </si>
  <si>
    <t xml:space="preserve">  ✏️  Células AZUIS = editáveis (preencha com o real de cada mês)  |  PRETO/GOLD = fórmulas  |  CMV: 🟢 ≤ Atenção · 🟡 entre Atenção e Meta · 🔴 acima da Meta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</si>
</sst>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0.00\x"/>
    <numFmt numFmtId="167" formatCode="&quot;R$ &quot;#,##0.00"/>
    <numFmt numFmtId="168" formatCode="0"/>
    <numFmt numFmtId="169" formatCode="&quot;R$ &quot;#,##0"/>
    <numFmt numFmtId="170" formatCode="&quot;R$ &quot;#,##0.0000"/>
    <numFmt numFmtId="171" formatCode="0.00"/>
    <numFmt numFmtId="172" formatCode="dd/mm/yyyy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0C040"/>
      <name val="Arial"/>
      <family val="0"/>
      <charset val="1"/>
    </font>
    <font>
      <b val="true"/>
      <sz val="9"/>
      <color rgb="FFF0C04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0C04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0C040"/>
      <name val="Arial"/>
      <family val="0"/>
      <charset val="1"/>
    </font>
    <font>
      <i val="true"/>
      <sz val="8"/>
      <color rgb="FFF0C040"/>
      <name val="Arial"/>
      <family val="0"/>
      <charset val="1"/>
    </font>
    <font>
      <i val="true"/>
      <sz val="8"/>
      <color rgb="FF555555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8"/>
      <color rgb="FF888888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2"/>
      <color rgb="FF1E7D45"/>
      <name val="Arial"/>
      <family val="0"/>
      <charset val="1"/>
    </font>
    <font>
      <sz val="9"/>
      <color rgb="FF1E7D45"/>
      <name val="Arial"/>
      <family val="0"/>
      <charset val="1"/>
    </font>
    <font>
      <b val="true"/>
      <sz val="9"/>
      <color rgb="FF1E7D45"/>
      <name val="Arial"/>
      <family val="0"/>
      <charset val="1"/>
    </font>
    <font>
      <b val="true"/>
      <sz val="8"/>
      <color rgb="FF888888"/>
      <name val="Arial"/>
      <family val="0"/>
      <charset val="1"/>
    </font>
    <font>
      <b val="true"/>
      <sz val="13"/>
      <color rgb="FFF0C040"/>
      <name val="Arial"/>
      <family val="0"/>
      <charset val="1"/>
    </font>
    <font>
      <b val="true"/>
      <sz val="11"/>
      <color rgb="FF0D1B2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2C1810"/>
      </patternFill>
    </fill>
    <fill>
      <patternFill patternType="solid">
        <fgColor rgb="FF2C1810"/>
        <bgColor rgb="FF0D1B2A"/>
      </patternFill>
    </fill>
    <fill>
      <patternFill patternType="solid">
        <fgColor rgb="FFFDFAF4"/>
        <bgColor rgb="FFFFFFFF"/>
      </patternFill>
    </fill>
    <fill>
      <patternFill patternType="solid">
        <fgColor rgb="FF1A3A5C"/>
        <bgColor rgb="FF333333"/>
      </patternFill>
    </fill>
    <fill>
      <patternFill patternType="solid">
        <fgColor rgb="FFF9E79F"/>
        <bgColor rgb="FFFDEBD0"/>
      </patternFill>
    </fill>
    <fill>
      <patternFill patternType="solid">
        <fgColor rgb="FF8B1A1A"/>
        <bgColor rgb="FF800000"/>
      </patternFill>
    </fill>
    <fill>
      <patternFill patternType="solid">
        <fgColor rgb="FFFDEBD0"/>
        <bgColor rgb="FFF2F3F4"/>
      </patternFill>
    </fill>
    <fill>
      <patternFill patternType="solid">
        <fgColor rgb="FFD5F5E3"/>
        <bgColor rgb="FFCCFFFF"/>
      </patternFill>
    </fill>
    <fill>
      <patternFill patternType="solid">
        <fgColor rgb="FFF2F3F4"/>
        <bgColor rgb="FFFDFAF4"/>
      </patternFill>
    </fill>
    <fill>
      <patternFill patternType="solid">
        <fgColor rgb="FF1E7D45"/>
        <bgColor rgb="FF00808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D45"/>
      <rgbColor rgb="FFC0C0C0"/>
      <rgbColor rgb="FF888888"/>
      <rgbColor rgb="FF9999FF"/>
      <rgbColor rgb="FF993366"/>
      <rgbColor rgb="FFFDFAF4"/>
      <rgbColor rgb="FFF2F3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9E79F"/>
      <rgbColor rgb="FF99CCFF"/>
      <rgbColor rgb="FFFF99CC"/>
      <rgbColor rgb="FFCC99FF"/>
      <rgbColor rgb="FFFDEBD0"/>
      <rgbColor rgb="FF3366FF"/>
      <rgbColor rgb="FF33CCCC"/>
      <rgbColor rgb="FF99CC00"/>
      <rgbColor rgb="FFF0C040"/>
      <rgbColor rgb="FFFF9900"/>
      <rgbColor rgb="FFE67E22"/>
      <rgbColor rgb="FF555555"/>
      <rgbColor rgb="FF969696"/>
      <rgbColor rgb="FF1A3A5C"/>
      <rgbColor rgb="FF339966"/>
      <rgbColor rgb="FF0D1B2A"/>
      <rgbColor rgb="FF2C1810"/>
      <rgbColor rgb="FF8B1A1A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7" min="3" style="0" width="12"/>
    <col collapsed="false" customWidth="true" hidden="false" outlineLevel="0" max="8" min="8" style="0" width="13"/>
    <col collapsed="false" customWidth="true" hidden="false" outlineLevel="0" max="9" min="9" style="0" width="15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8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</row>
    <row r="4" customFormat="false" ht="15" hidden="false" customHeight="false" outlineLevel="0" collapsed="false">
      <c r="A4" s="3" t="s">
        <v>2</v>
      </c>
      <c r="B4" s="4" t="n">
        <v>0.35</v>
      </c>
      <c r="C4" s="5" t="s">
        <v>3</v>
      </c>
      <c r="D4" s="5"/>
      <c r="E4" s="5"/>
      <c r="F4" s="5"/>
      <c r="G4" s="5"/>
      <c r="H4" s="5"/>
      <c r="I4" s="5"/>
    </row>
    <row r="5" customFormat="false" ht="15" hidden="false" customHeight="false" outlineLevel="0" collapsed="false">
      <c r="A5" s="3" t="s">
        <v>4</v>
      </c>
      <c r="B5" s="4" t="n">
        <v>0.3</v>
      </c>
      <c r="C5" s="5" t="s">
        <v>5</v>
      </c>
      <c r="D5" s="5"/>
      <c r="E5" s="5"/>
      <c r="F5" s="5"/>
      <c r="G5" s="5"/>
      <c r="H5" s="5"/>
      <c r="I5" s="5"/>
    </row>
    <row r="6" customFormat="false" ht="15" hidden="false" customHeight="false" outlineLevel="0" collapsed="false">
      <c r="A6" s="3" t="s">
        <v>6</v>
      </c>
      <c r="B6" s="6" t="n">
        <v>2.9</v>
      </c>
      <c r="C6" s="5" t="s">
        <v>7</v>
      </c>
      <c r="D6" s="5"/>
      <c r="E6" s="5"/>
      <c r="F6" s="5"/>
      <c r="G6" s="5"/>
      <c r="H6" s="5"/>
      <c r="I6" s="5"/>
    </row>
    <row r="7" customFormat="false" ht="15" hidden="false" customHeight="false" outlineLevel="0" collapsed="false">
      <c r="A7" s="3" t="s">
        <v>8</v>
      </c>
      <c r="B7" s="6" t="n">
        <v>3</v>
      </c>
      <c r="C7" s="5" t="s">
        <v>9</v>
      </c>
      <c r="D7" s="5"/>
      <c r="E7" s="5"/>
      <c r="F7" s="5"/>
      <c r="G7" s="5"/>
      <c r="H7" s="5"/>
      <c r="I7" s="5"/>
    </row>
    <row r="8" customFormat="false" ht="15" hidden="false" customHeight="false" outlineLevel="0" collapsed="false">
      <c r="A8" s="3" t="s">
        <v>10</v>
      </c>
      <c r="B8" s="4" t="n">
        <v>0.08</v>
      </c>
      <c r="C8" s="5" t="s">
        <v>11</v>
      </c>
      <c r="D8" s="5"/>
      <c r="E8" s="5"/>
      <c r="F8" s="5"/>
      <c r="G8" s="5"/>
      <c r="H8" s="5"/>
      <c r="I8" s="5"/>
    </row>
    <row r="9" customFormat="false" ht="15" hidden="false" customHeight="false" outlineLevel="0" collapsed="false">
      <c r="A9" s="3" t="s">
        <v>12</v>
      </c>
      <c r="B9" s="7" t="n">
        <v>20</v>
      </c>
      <c r="C9" s="5" t="s">
        <v>13</v>
      </c>
      <c r="D9" s="5"/>
      <c r="E9" s="5"/>
      <c r="F9" s="5"/>
      <c r="G9" s="5"/>
      <c r="H9" s="5"/>
      <c r="I9" s="5"/>
    </row>
    <row r="10" customFormat="false" ht="15" hidden="false" customHeight="false" outlineLevel="0" collapsed="false">
      <c r="A10" s="3" t="s">
        <v>14</v>
      </c>
      <c r="B10" s="8" t="n">
        <v>28</v>
      </c>
      <c r="C10" s="5" t="s">
        <v>15</v>
      </c>
      <c r="D10" s="5"/>
      <c r="E10" s="5"/>
      <c r="F10" s="5"/>
      <c r="G10" s="5"/>
      <c r="H10" s="5"/>
      <c r="I10" s="5"/>
    </row>
    <row r="11" customFormat="false" ht="15" hidden="false" customHeight="false" outlineLevel="0" collapsed="false">
      <c r="A11" s="3" t="s">
        <v>16</v>
      </c>
      <c r="B11" s="4" t="n">
        <v>0.2</v>
      </c>
      <c r="C11" s="5" t="s">
        <v>17</v>
      </c>
      <c r="D11" s="5"/>
      <c r="E11" s="5"/>
      <c r="F11" s="5"/>
      <c r="G11" s="5"/>
      <c r="H11" s="5"/>
      <c r="I11" s="5"/>
    </row>
    <row r="13" customFormat="false" ht="18" hidden="false" customHeight="true" outlineLevel="0" collapsed="false">
      <c r="A13" s="9" t="s">
        <v>18</v>
      </c>
      <c r="B13" s="9"/>
      <c r="C13" s="9"/>
      <c r="D13" s="9"/>
      <c r="E13" s="9"/>
      <c r="F13" s="9"/>
      <c r="G13" s="9"/>
      <c r="H13" s="9"/>
      <c r="I13" s="9"/>
    </row>
    <row r="14" customFormat="false" ht="15" hidden="false" customHeight="false" outlineLevel="0" collapsed="false">
      <c r="A14" s="10" t="s">
        <v>19</v>
      </c>
      <c r="B14" s="10" t="s">
        <v>20</v>
      </c>
      <c r="C14" s="10" t="s">
        <v>21</v>
      </c>
      <c r="D14" s="10" t="s">
        <v>22</v>
      </c>
      <c r="E14" s="10" t="s">
        <v>23</v>
      </c>
      <c r="F14" s="10" t="s">
        <v>24</v>
      </c>
      <c r="G14" s="10" t="s">
        <v>25</v>
      </c>
      <c r="H14" s="10" t="s">
        <v>26</v>
      </c>
      <c r="I14" s="10" t="s">
        <v>27</v>
      </c>
    </row>
    <row r="15" customFormat="false" ht="15" hidden="false" customHeight="false" outlineLevel="0" collapsed="false">
      <c r="A15" s="11" t="s">
        <v>28</v>
      </c>
      <c r="B15" s="12" t="n">
        <v>60</v>
      </c>
      <c r="C15" s="12" t="n">
        <v>65</v>
      </c>
      <c r="D15" s="12" t="n">
        <v>60</v>
      </c>
      <c r="E15" s="12" t="n">
        <v>55</v>
      </c>
      <c r="F15" s="12" t="n">
        <v>65</v>
      </c>
      <c r="G15" s="12" t="n">
        <v>70</v>
      </c>
      <c r="H15" s="13" t="n">
        <f aca="false">SUM(B15:G15)</f>
        <v>375</v>
      </c>
      <c r="I15" s="13" t="n">
        <f aca="false">H15/6</f>
        <v>62.5</v>
      </c>
    </row>
    <row r="16" customFormat="false" ht="15" hidden="false" customHeight="false" outlineLevel="0" collapsed="false">
      <c r="A16" s="11" t="s">
        <v>29</v>
      </c>
      <c r="B16" s="12" t="n">
        <v>90</v>
      </c>
      <c r="C16" s="12" t="n">
        <v>95</v>
      </c>
      <c r="D16" s="12" t="n">
        <v>90</v>
      </c>
      <c r="E16" s="12" t="n">
        <v>85</v>
      </c>
      <c r="F16" s="12" t="n">
        <v>95</v>
      </c>
      <c r="G16" s="12" t="n">
        <v>100</v>
      </c>
      <c r="H16" s="13" t="n">
        <f aca="false">SUM(B16:G16)</f>
        <v>555</v>
      </c>
      <c r="I16" s="13" t="n">
        <f aca="false">H16/6</f>
        <v>92.5</v>
      </c>
    </row>
    <row r="17" customFormat="false" ht="15" hidden="false" customHeight="false" outlineLevel="0" collapsed="false">
      <c r="A17" s="11" t="s">
        <v>30</v>
      </c>
      <c r="B17" s="12" t="n">
        <v>30</v>
      </c>
      <c r="C17" s="12" t="n">
        <v>30</v>
      </c>
      <c r="D17" s="12" t="n">
        <v>28</v>
      </c>
      <c r="E17" s="12" t="n">
        <v>28</v>
      </c>
      <c r="F17" s="12" t="n">
        <v>32</v>
      </c>
      <c r="G17" s="12" t="n">
        <v>32</v>
      </c>
      <c r="H17" s="13" t="n">
        <f aca="false">SUM(B17:G17)</f>
        <v>180</v>
      </c>
      <c r="I17" s="13" t="n">
        <f aca="false">H17/6</f>
        <v>30</v>
      </c>
    </row>
    <row r="18" customFormat="false" ht="15" hidden="false" customHeight="false" outlineLevel="0" collapsed="false">
      <c r="A18" s="11" t="s">
        <v>31</v>
      </c>
      <c r="B18" s="12" t="n">
        <v>76</v>
      </c>
      <c r="C18" s="12" t="n">
        <v>76</v>
      </c>
      <c r="D18" s="12" t="n">
        <v>76</v>
      </c>
      <c r="E18" s="12" t="n">
        <v>76</v>
      </c>
      <c r="F18" s="12" t="n">
        <v>76</v>
      </c>
      <c r="G18" s="12" t="n">
        <v>76</v>
      </c>
      <c r="H18" s="13" t="n">
        <f aca="false">SUM(B18:G18)</f>
        <v>456</v>
      </c>
      <c r="I18" s="13" t="n">
        <f aca="false">H18/6</f>
        <v>76</v>
      </c>
    </row>
    <row r="19" customFormat="false" ht="15" hidden="false" customHeight="false" outlineLevel="0" collapsed="false">
      <c r="A19" s="11" t="s">
        <v>32</v>
      </c>
      <c r="B19" s="12" t="n">
        <v>50</v>
      </c>
      <c r="C19" s="12" t="n">
        <v>50</v>
      </c>
      <c r="D19" s="12" t="n">
        <v>50</v>
      </c>
      <c r="E19" s="12" t="n">
        <v>50</v>
      </c>
      <c r="F19" s="12" t="n">
        <v>50</v>
      </c>
      <c r="G19" s="12" t="n">
        <v>50</v>
      </c>
      <c r="H19" s="13" t="n">
        <f aca="false">SUM(B19:G19)</f>
        <v>300</v>
      </c>
      <c r="I19" s="13" t="n">
        <f aca="false">H19/6</f>
        <v>50</v>
      </c>
    </row>
    <row r="20" customFormat="false" ht="15" hidden="false" customHeight="false" outlineLevel="0" collapsed="false">
      <c r="A20" s="11" t="s">
        <v>33</v>
      </c>
      <c r="B20" s="12" t="n">
        <v>40</v>
      </c>
      <c r="C20" s="12" t="n">
        <v>20</v>
      </c>
      <c r="D20" s="12" t="n">
        <v>20</v>
      </c>
      <c r="E20" s="12" t="n">
        <v>40</v>
      </c>
      <c r="F20" s="12" t="n">
        <v>20</v>
      </c>
      <c r="G20" s="12" t="n">
        <v>20</v>
      </c>
      <c r="H20" s="13" t="n">
        <f aca="false">SUM(B20:G20)</f>
        <v>160</v>
      </c>
      <c r="I20" s="13" t="n">
        <f aca="false">H20/6</f>
        <v>26.6666666666667</v>
      </c>
    </row>
    <row r="21" customFormat="false" ht="15" hidden="false" customHeight="false" outlineLevel="0" collapsed="false">
      <c r="A21" s="11" t="s">
        <v>34</v>
      </c>
      <c r="B21" s="12" t="n">
        <v>50</v>
      </c>
      <c r="C21" s="12" t="n">
        <v>50</v>
      </c>
      <c r="D21" s="12" t="n">
        <v>50</v>
      </c>
      <c r="E21" s="12" t="n">
        <v>50</v>
      </c>
      <c r="F21" s="12" t="n">
        <v>50</v>
      </c>
      <c r="G21" s="12" t="n">
        <v>50</v>
      </c>
      <c r="H21" s="13" t="n">
        <f aca="false">SUM(B21:G21)</f>
        <v>300</v>
      </c>
      <c r="I21" s="13" t="n">
        <f aca="false">H21/6</f>
        <v>50</v>
      </c>
    </row>
    <row r="22" customFormat="false" ht="15" hidden="false" customHeight="false" outlineLevel="0" collapsed="false">
      <c r="A22" s="14" t="s">
        <v>35</v>
      </c>
      <c r="B22" s="15" t="n">
        <f aca="false">SUM(B15:B21)</f>
        <v>396</v>
      </c>
      <c r="C22" s="15" t="n">
        <f aca="false">SUM(C15:C21)</f>
        <v>386</v>
      </c>
      <c r="D22" s="15" t="n">
        <f aca="false">SUM(D15:D21)</f>
        <v>374</v>
      </c>
      <c r="E22" s="15" t="n">
        <f aca="false">SUM(E15:E21)</f>
        <v>384</v>
      </c>
      <c r="F22" s="15" t="n">
        <f aca="false">SUM(F15:F21)</f>
        <v>388</v>
      </c>
      <c r="G22" s="15" t="n">
        <f aca="false">SUM(G15:G21)</f>
        <v>398</v>
      </c>
      <c r="H22" s="15" t="n">
        <f aca="false">SUM(H15:H21)</f>
        <v>2326</v>
      </c>
      <c r="I22" s="15" t="n">
        <f aca="false">SUM(I15:I21)</f>
        <v>387.666666666667</v>
      </c>
    </row>
    <row r="24" customFormat="false" ht="18" hidden="false" customHeight="true" outlineLevel="0" collapsed="false">
      <c r="A24" s="9" t="s">
        <v>36</v>
      </c>
      <c r="B24" s="9"/>
      <c r="C24" s="9"/>
      <c r="D24" s="9"/>
      <c r="E24" s="9"/>
      <c r="F24" s="9"/>
      <c r="G24" s="9"/>
      <c r="H24" s="9"/>
      <c r="I24" s="9"/>
    </row>
    <row r="25" customFormat="false" ht="15" hidden="false" customHeight="false" outlineLevel="0" collapsed="false">
      <c r="A25" s="10" t="s">
        <v>37</v>
      </c>
      <c r="B25" s="10" t="s">
        <v>20</v>
      </c>
      <c r="C25" s="10" t="s">
        <v>21</v>
      </c>
      <c r="D25" s="10" t="s">
        <v>22</v>
      </c>
      <c r="E25" s="10" t="s">
        <v>23</v>
      </c>
      <c r="F25" s="10" t="s">
        <v>24</v>
      </c>
      <c r="G25" s="10" t="s">
        <v>25</v>
      </c>
      <c r="H25" s="10" t="s">
        <v>26</v>
      </c>
      <c r="I25" s="10" t="s">
        <v>27</v>
      </c>
    </row>
    <row r="26" customFormat="false" ht="15" hidden="false" customHeight="false" outlineLevel="0" collapsed="false">
      <c r="A26" s="11" t="s">
        <v>38</v>
      </c>
      <c r="B26" s="12" t="n">
        <v>420</v>
      </c>
      <c r="C26" s="12" t="n">
        <v>480</v>
      </c>
      <c r="D26" s="12" t="n">
        <v>560</v>
      </c>
      <c r="E26" s="12" t="n">
        <v>650</v>
      </c>
      <c r="F26" s="12" t="n">
        <v>700</v>
      </c>
      <c r="G26" s="12" t="n">
        <v>760</v>
      </c>
      <c r="H26" s="13" t="n">
        <f aca="false">SUM(B26:G26)</f>
        <v>3570</v>
      </c>
      <c r="I26" s="13" t="n">
        <f aca="false">H26/6</f>
        <v>595</v>
      </c>
    </row>
    <row r="27" customFormat="false" ht="15" hidden="false" customHeight="false" outlineLevel="0" collapsed="false">
      <c r="A27" s="11" t="s">
        <v>39</v>
      </c>
      <c r="B27" s="12" t="n">
        <v>380</v>
      </c>
      <c r="C27" s="12" t="n">
        <v>430</v>
      </c>
      <c r="D27" s="12" t="n">
        <v>500</v>
      </c>
      <c r="E27" s="12" t="n">
        <v>580</v>
      </c>
      <c r="F27" s="12" t="n">
        <v>630</v>
      </c>
      <c r="G27" s="12" t="n">
        <v>680</v>
      </c>
      <c r="H27" s="13" t="n">
        <f aca="false">SUM(B27:G27)</f>
        <v>3200</v>
      </c>
      <c r="I27" s="13" t="n">
        <f aca="false">H27/6</f>
        <v>533.333333333333</v>
      </c>
    </row>
    <row r="28" customFormat="false" ht="15" hidden="false" customHeight="false" outlineLevel="0" collapsed="false">
      <c r="A28" s="11" t="s">
        <v>40</v>
      </c>
      <c r="B28" s="12" t="n">
        <v>110</v>
      </c>
      <c r="C28" s="12" t="n">
        <v>130</v>
      </c>
      <c r="D28" s="12" t="n">
        <v>150</v>
      </c>
      <c r="E28" s="12" t="n">
        <v>170</v>
      </c>
      <c r="F28" s="12" t="n">
        <v>185</v>
      </c>
      <c r="G28" s="12" t="n">
        <v>200</v>
      </c>
      <c r="H28" s="13" t="n">
        <f aca="false">SUM(B28:G28)</f>
        <v>945</v>
      </c>
      <c r="I28" s="13" t="n">
        <f aca="false">H28/6</f>
        <v>157.5</v>
      </c>
    </row>
    <row r="29" customFormat="false" ht="15" hidden="false" customHeight="false" outlineLevel="0" collapsed="false">
      <c r="A29" s="11" t="s">
        <v>41</v>
      </c>
      <c r="B29" s="12" t="n">
        <v>40</v>
      </c>
      <c r="C29" s="12" t="n">
        <v>45</v>
      </c>
      <c r="D29" s="12" t="n">
        <v>50</v>
      </c>
      <c r="E29" s="12" t="n">
        <v>55</v>
      </c>
      <c r="F29" s="12" t="n">
        <v>60</v>
      </c>
      <c r="G29" s="12" t="n">
        <v>65</v>
      </c>
      <c r="H29" s="13" t="n">
        <f aca="false">SUM(B29:G29)</f>
        <v>315</v>
      </c>
      <c r="I29" s="13" t="n">
        <f aca="false">H29/6</f>
        <v>52.5</v>
      </c>
    </row>
    <row r="30" customFormat="false" ht="15" hidden="false" customHeight="false" outlineLevel="0" collapsed="false">
      <c r="A30" s="11" t="s">
        <v>42</v>
      </c>
      <c r="B30" s="12" t="n">
        <v>35</v>
      </c>
      <c r="C30" s="12" t="n">
        <v>35</v>
      </c>
      <c r="D30" s="12" t="n">
        <v>40</v>
      </c>
      <c r="E30" s="12" t="n">
        <v>40</v>
      </c>
      <c r="F30" s="12" t="n">
        <v>45</v>
      </c>
      <c r="G30" s="12" t="n">
        <v>45</v>
      </c>
      <c r="H30" s="13" t="n">
        <f aca="false">SUM(B30:G30)</f>
        <v>240</v>
      </c>
      <c r="I30" s="13" t="n">
        <f aca="false">H30/6</f>
        <v>40</v>
      </c>
    </row>
    <row r="31" customFormat="false" ht="15" hidden="false" customHeight="false" outlineLevel="0" collapsed="false">
      <c r="A31" s="11" t="s">
        <v>43</v>
      </c>
      <c r="B31" s="12" t="n">
        <v>30</v>
      </c>
      <c r="C31" s="12" t="n">
        <v>30</v>
      </c>
      <c r="D31" s="12" t="n">
        <v>30</v>
      </c>
      <c r="E31" s="12" t="n">
        <v>30</v>
      </c>
      <c r="F31" s="12" t="n">
        <v>30</v>
      </c>
      <c r="G31" s="12" t="n">
        <v>30</v>
      </c>
      <c r="H31" s="13" t="n">
        <f aca="false">SUM(B31:G31)</f>
        <v>180</v>
      </c>
      <c r="I31" s="13" t="n">
        <f aca="false">H31/6</f>
        <v>30</v>
      </c>
    </row>
    <row r="32" customFormat="false" ht="15" hidden="false" customHeight="false" outlineLevel="0" collapsed="false">
      <c r="A32" s="14" t="s">
        <v>44</v>
      </c>
      <c r="B32" s="15" t="n">
        <f aca="false">SUM(B26:B31)</f>
        <v>1015</v>
      </c>
      <c r="C32" s="15" t="n">
        <f aca="false">SUM(C26:C31)</f>
        <v>1150</v>
      </c>
      <c r="D32" s="15" t="n">
        <f aca="false">SUM(D26:D31)</f>
        <v>1330</v>
      </c>
      <c r="E32" s="15" t="n">
        <f aca="false">SUM(E26:E31)</f>
        <v>1525</v>
      </c>
      <c r="F32" s="15" t="n">
        <f aca="false">SUM(F26:F31)</f>
        <v>1650</v>
      </c>
      <c r="G32" s="15" t="n">
        <f aca="false">SUM(G26:G31)</f>
        <v>1780</v>
      </c>
      <c r="H32" s="15" t="n">
        <f aca="false">SUM(H26:H31)</f>
        <v>8450</v>
      </c>
      <c r="I32" s="15" t="n">
        <f aca="false">SUM(I26:I31)</f>
        <v>1408.33333333333</v>
      </c>
    </row>
    <row r="34" customFormat="false" ht="18" hidden="false" customHeight="true" outlineLevel="0" collapsed="false">
      <c r="A34" s="2" t="s">
        <v>45</v>
      </c>
      <c r="B34" s="2"/>
      <c r="C34" s="2"/>
      <c r="D34" s="2"/>
      <c r="E34" s="2"/>
      <c r="F34" s="2"/>
      <c r="G34" s="2"/>
      <c r="H34" s="2"/>
      <c r="I34" s="2"/>
    </row>
    <row r="35" customFormat="false" ht="15" hidden="false" customHeight="false" outlineLevel="0" collapsed="false">
      <c r="A35" s="16" t="s">
        <v>46</v>
      </c>
      <c r="B35" s="17" t="n">
        <f aca="false">I22</f>
        <v>387.666666666667</v>
      </c>
      <c r="C35" s="17"/>
      <c r="D35" s="17"/>
      <c r="E35" s="17"/>
      <c r="F35" s="17"/>
      <c r="G35" s="17"/>
      <c r="H35" s="17"/>
      <c r="I35" s="17"/>
    </row>
    <row r="36" customFormat="false" ht="15" hidden="false" customHeight="false" outlineLevel="0" collapsed="false">
      <c r="A36" s="16" t="s">
        <v>47</v>
      </c>
      <c r="B36" s="17" t="n">
        <f aca="false">I32</f>
        <v>1408.33333333333</v>
      </c>
      <c r="C36" s="17"/>
      <c r="D36" s="17"/>
      <c r="E36" s="17"/>
      <c r="F36" s="17"/>
      <c r="G36" s="17"/>
      <c r="H36" s="17"/>
      <c r="I36" s="17"/>
    </row>
    <row r="37" customFormat="false" ht="15" hidden="false" customHeight="false" outlineLevel="0" collapsed="false">
      <c r="A37" s="16" t="s">
        <v>48</v>
      </c>
      <c r="B37" s="17" t="n">
        <f aca="false">B35+B36</f>
        <v>1796</v>
      </c>
      <c r="C37" s="17"/>
      <c r="D37" s="17"/>
      <c r="E37" s="17"/>
      <c r="F37" s="17"/>
      <c r="G37" s="17"/>
      <c r="H37" s="17"/>
      <c r="I37" s="17"/>
    </row>
    <row r="38" customFormat="false" ht="15" hidden="false" customHeight="false" outlineLevel="0" collapsed="false">
      <c r="A38" s="16" t="s">
        <v>49</v>
      </c>
      <c r="B38" s="18" t="n">
        <f aca="false">1-B4</f>
        <v>0.65</v>
      </c>
      <c r="C38" s="18"/>
      <c r="D38" s="18"/>
      <c r="E38" s="18"/>
      <c r="F38" s="18"/>
      <c r="G38" s="18"/>
      <c r="H38" s="18"/>
      <c r="I38" s="18"/>
    </row>
    <row r="39" customFormat="false" ht="15" hidden="false" customHeight="false" outlineLevel="0" collapsed="false">
      <c r="A39" s="14" t="s">
        <v>50</v>
      </c>
      <c r="B39" s="19" t="n">
        <f aca="false">IFERROR(B37/B38,0)</f>
        <v>2763.07692307692</v>
      </c>
      <c r="C39" s="19"/>
      <c r="D39" s="19"/>
      <c r="E39" s="19"/>
      <c r="F39" s="19"/>
      <c r="G39" s="19"/>
      <c r="H39" s="19"/>
      <c r="I39" s="19"/>
    </row>
    <row r="40" customFormat="false" ht="15" hidden="false" customHeight="false" outlineLevel="0" collapsed="false">
      <c r="A40" s="16" t="s">
        <v>51</v>
      </c>
      <c r="B40" s="17" t="n">
        <f aca="false">IFERROR(B39/B9,0)</f>
        <v>138.153846153846</v>
      </c>
      <c r="C40" s="17"/>
      <c r="D40" s="17"/>
      <c r="E40" s="17"/>
      <c r="F40" s="17"/>
      <c r="G40" s="17"/>
      <c r="H40" s="17"/>
      <c r="I40" s="17"/>
    </row>
    <row r="41" customFormat="false" ht="15" hidden="false" customHeight="false" outlineLevel="0" collapsed="false">
      <c r="A41" s="16" t="s">
        <v>52</v>
      </c>
      <c r="B41" s="20" t="n">
        <f aca="false">IFERROR(CEILING(B40/B10,1),0)</f>
        <v>5</v>
      </c>
      <c r="C41" s="20"/>
      <c r="D41" s="20"/>
      <c r="E41" s="20"/>
      <c r="F41" s="20"/>
      <c r="G41" s="20"/>
      <c r="H41" s="20"/>
      <c r="I41" s="20"/>
    </row>
    <row r="42" customFormat="false" ht="15" hidden="false" customHeight="false" outlineLevel="0" collapsed="false">
      <c r="A42" s="16" t="s">
        <v>53</v>
      </c>
      <c r="B42" s="17" t="n">
        <f aca="false">B39*(1+B11)</f>
        <v>3315.69230769231</v>
      </c>
      <c r="C42" s="17"/>
      <c r="D42" s="17"/>
      <c r="E42" s="17"/>
      <c r="F42" s="17"/>
      <c r="G42" s="17"/>
      <c r="H42" s="17"/>
      <c r="I42" s="17"/>
    </row>
    <row r="44" customFormat="false" ht="18" hidden="false" customHeight="true" outlineLevel="0" collapsed="false">
      <c r="A44" s="2" t="s">
        <v>54</v>
      </c>
      <c r="B44" s="2"/>
      <c r="C44" s="2"/>
      <c r="D44" s="2"/>
      <c r="E44" s="2"/>
      <c r="F44" s="2"/>
      <c r="G44" s="2"/>
      <c r="H44" s="2"/>
      <c r="I44" s="2"/>
    </row>
    <row r="45" customFormat="false" ht="15" hidden="false" customHeight="false" outlineLevel="0" collapsed="false">
      <c r="A45" s="3" t="s">
        <v>55</v>
      </c>
      <c r="B45" s="6" t="n">
        <v>1.35</v>
      </c>
      <c r="C45" s="5" t="s">
        <v>56</v>
      </c>
      <c r="D45" s="5"/>
      <c r="E45" s="5"/>
      <c r="F45" s="5"/>
      <c r="G45" s="5"/>
      <c r="H45" s="5"/>
      <c r="I45" s="5"/>
    </row>
    <row r="46" customFormat="false" ht="15" hidden="false" customHeight="false" outlineLevel="0" collapsed="false">
      <c r="A46" s="3" t="s">
        <v>57</v>
      </c>
      <c r="B46" s="6" t="n">
        <v>0.65</v>
      </c>
      <c r="C46" s="5" t="s">
        <v>58</v>
      </c>
      <c r="D46" s="5"/>
      <c r="E46" s="5"/>
      <c r="F46" s="5"/>
      <c r="G46" s="5"/>
      <c r="H46" s="5"/>
      <c r="I46" s="5"/>
    </row>
    <row r="47" customFormat="false" ht="15" hidden="false" customHeight="false" outlineLevel="0" collapsed="false">
      <c r="A47" s="3" t="s">
        <v>59</v>
      </c>
      <c r="B47" s="7" t="n">
        <v>3</v>
      </c>
      <c r="C47" s="5" t="s">
        <v>60</v>
      </c>
      <c r="D47" s="5"/>
      <c r="E47" s="5"/>
      <c r="F47" s="5"/>
      <c r="G47" s="5"/>
      <c r="H47" s="5"/>
      <c r="I47" s="5"/>
    </row>
    <row r="48" customFormat="false" ht="15" hidden="false" customHeight="false" outlineLevel="0" collapsed="false">
      <c r="A48" s="16" t="s">
        <v>61</v>
      </c>
      <c r="B48" s="17" t="n">
        <f aca="false">IFERROR(B39/B46,0)</f>
        <v>4250.8875739645</v>
      </c>
      <c r="C48" s="17"/>
      <c r="D48" s="17"/>
      <c r="E48" s="17"/>
      <c r="F48" s="17"/>
      <c r="G48" s="17"/>
      <c r="H48" s="17"/>
      <c r="I48" s="17"/>
    </row>
    <row r="49" customFormat="false" ht="15" hidden="false" customHeight="false" outlineLevel="0" collapsed="false">
      <c r="A49" s="16" t="s">
        <v>62</v>
      </c>
      <c r="B49" s="17" t="n">
        <f aca="false">B37</f>
        <v>1796</v>
      </c>
      <c r="C49" s="17"/>
      <c r="D49" s="17"/>
      <c r="E49" s="17"/>
      <c r="F49" s="17"/>
      <c r="G49" s="17"/>
      <c r="H49" s="17"/>
      <c r="I49" s="17"/>
    </row>
    <row r="50" customFormat="false" ht="15" hidden="false" customHeight="false" outlineLevel="0" collapsed="false">
      <c r="A50" s="14" t="s">
        <v>63</v>
      </c>
      <c r="B50" s="19" t="n">
        <f aca="false">B37*B47</f>
        <v>5388</v>
      </c>
      <c r="C50" s="19"/>
      <c r="D50" s="19"/>
      <c r="E50" s="19"/>
      <c r="F50" s="19"/>
      <c r="G50" s="19"/>
      <c r="H50" s="19"/>
      <c r="I50" s="19"/>
    </row>
    <row r="52" customFormat="false" ht="18" hidden="false" customHeight="true" outlineLevel="0" collapsed="false">
      <c r="A52" s="2" t="s">
        <v>64</v>
      </c>
      <c r="B52" s="2"/>
      <c r="C52" s="2"/>
      <c r="D52" s="2"/>
      <c r="E52" s="2"/>
      <c r="F52" s="2"/>
      <c r="G52" s="2"/>
      <c r="H52" s="2"/>
      <c r="I52" s="2"/>
    </row>
    <row r="53" customFormat="false" ht="22.35" hidden="false" customHeight="true" outlineLevel="0" collapsed="false">
      <c r="A53" s="10" t="s">
        <v>65</v>
      </c>
      <c r="B53" s="10" t="s">
        <v>66</v>
      </c>
      <c r="C53" s="10" t="s">
        <v>67</v>
      </c>
      <c r="D53" s="10" t="s">
        <v>68</v>
      </c>
      <c r="E53" s="10"/>
      <c r="F53" s="10"/>
      <c r="G53" s="10"/>
      <c r="H53" s="10"/>
      <c r="I53" s="10"/>
    </row>
    <row r="54" customFormat="false" ht="15" hidden="false" customHeight="false" outlineLevel="0" collapsed="false">
      <c r="A54" s="11" t="s">
        <v>69</v>
      </c>
      <c r="B54" s="21" t="n">
        <v>1900</v>
      </c>
      <c r="C54" s="21" t="n">
        <v>2500</v>
      </c>
      <c r="D54" s="22"/>
      <c r="E54" s="22"/>
      <c r="F54" s="22"/>
      <c r="G54" s="22"/>
      <c r="H54" s="22"/>
      <c r="I54" s="22"/>
    </row>
    <row r="55" customFormat="false" ht="15" hidden="false" customHeight="false" outlineLevel="0" collapsed="false">
      <c r="A55" s="11" t="s">
        <v>70</v>
      </c>
      <c r="B55" s="21" t="n">
        <v>0</v>
      </c>
      <c r="C55" s="21" t="n">
        <v>2500</v>
      </c>
      <c r="D55" s="22" t="s">
        <v>71</v>
      </c>
      <c r="E55" s="22"/>
      <c r="F55" s="22"/>
      <c r="G55" s="22"/>
      <c r="H55" s="22"/>
      <c r="I55" s="22"/>
    </row>
    <row r="56" customFormat="false" ht="15" hidden="false" customHeight="false" outlineLevel="0" collapsed="false">
      <c r="A56" s="11" t="s">
        <v>72</v>
      </c>
      <c r="B56" s="21" t="n">
        <v>650</v>
      </c>
      <c r="C56" s="21" t="n">
        <v>950</v>
      </c>
      <c r="D56" s="22"/>
      <c r="E56" s="22"/>
      <c r="F56" s="22"/>
      <c r="G56" s="22"/>
      <c r="H56" s="22"/>
      <c r="I56" s="22"/>
    </row>
    <row r="57" customFormat="false" ht="15" hidden="false" customHeight="false" outlineLevel="0" collapsed="false">
      <c r="A57" s="11" t="s">
        <v>73</v>
      </c>
      <c r="B57" s="21" t="n">
        <v>350</v>
      </c>
      <c r="C57" s="21" t="n">
        <v>550</v>
      </c>
      <c r="D57" s="22"/>
      <c r="E57" s="22"/>
      <c r="F57" s="22"/>
      <c r="G57" s="22"/>
      <c r="H57" s="22"/>
      <c r="I57" s="22"/>
    </row>
    <row r="58" customFormat="false" ht="15" hidden="false" customHeight="false" outlineLevel="0" collapsed="false">
      <c r="A58" s="11" t="s">
        <v>74</v>
      </c>
      <c r="B58" s="21" t="n">
        <v>750</v>
      </c>
      <c r="C58" s="21" t="n">
        <v>1100</v>
      </c>
      <c r="D58" s="22"/>
      <c r="E58" s="22"/>
      <c r="F58" s="22"/>
      <c r="G58" s="22"/>
      <c r="H58" s="22"/>
      <c r="I58" s="22"/>
    </row>
    <row r="59" customFormat="false" ht="15" hidden="false" customHeight="false" outlineLevel="0" collapsed="false">
      <c r="A59" s="11" t="s">
        <v>75</v>
      </c>
      <c r="B59" s="21" t="n">
        <v>450</v>
      </c>
      <c r="C59" s="21" t="n">
        <v>700</v>
      </c>
      <c r="D59" s="22"/>
      <c r="E59" s="22"/>
      <c r="F59" s="22"/>
      <c r="G59" s="22"/>
      <c r="H59" s="22"/>
      <c r="I59" s="22"/>
    </row>
    <row r="60" customFormat="false" ht="15" hidden="false" customHeight="false" outlineLevel="0" collapsed="false">
      <c r="A60" s="11" t="s">
        <v>76</v>
      </c>
      <c r="B60" s="21" t="n">
        <v>90</v>
      </c>
      <c r="C60" s="21" t="n">
        <v>150</v>
      </c>
      <c r="D60" s="22"/>
      <c r="E60" s="22"/>
      <c r="F60" s="22"/>
      <c r="G60" s="22"/>
      <c r="H60" s="22"/>
      <c r="I60" s="22"/>
    </row>
    <row r="61" customFormat="false" ht="15" hidden="false" customHeight="false" outlineLevel="0" collapsed="false">
      <c r="A61" s="11" t="s">
        <v>77</v>
      </c>
      <c r="B61" s="21" t="n">
        <v>200</v>
      </c>
      <c r="C61" s="21" t="n">
        <v>320</v>
      </c>
      <c r="D61" s="22"/>
      <c r="E61" s="22"/>
      <c r="F61" s="22"/>
      <c r="G61" s="22"/>
      <c r="H61" s="22"/>
      <c r="I61" s="22"/>
    </row>
    <row r="62" customFormat="false" ht="15" hidden="false" customHeight="false" outlineLevel="0" collapsed="false">
      <c r="A62" s="11" t="s">
        <v>78</v>
      </c>
      <c r="B62" s="21" t="n">
        <v>700</v>
      </c>
      <c r="C62" s="21" t="n">
        <v>1100</v>
      </c>
      <c r="D62" s="22"/>
      <c r="E62" s="22"/>
      <c r="F62" s="22"/>
      <c r="G62" s="22"/>
      <c r="H62" s="22"/>
      <c r="I62" s="22"/>
    </row>
    <row r="63" customFormat="false" ht="15" hidden="false" customHeight="false" outlineLevel="0" collapsed="false">
      <c r="A63" s="11" t="s">
        <v>79</v>
      </c>
      <c r="B63" s="21" t="n">
        <v>550</v>
      </c>
      <c r="C63" s="21" t="n">
        <v>750</v>
      </c>
      <c r="D63" s="22"/>
      <c r="E63" s="22"/>
      <c r="F63" s="22"/>
      <c r="G63" s="22"/>
      <c r="H63" s="22"/>
      <c r="I63" s="22"/>
    </row>
    <row r="64" customFormat="false" ht="15" hidden="false" customHeight="false" outlineLevel="0" collapsed="false">
      <c r="A64" s="11" t="s">
        <v>80</v>
      </c>
      <c r="B64" s="21" t="n">
        <v>250</v>
      </c>
      <c r="C64" s="21" t="n">
        <v>500</v>
      </c>
      <c r="D64" s="22"/>
      <c r="E64" s="22"/>
      <c r="F64" s="22"/>
      <c r="G64" s="22"/>
      <c r="H64" s="22"/>
      <c r="I64" s="22"/>
    </row>
    <row r="65" customFormat="false" ht="15" hidden="false" customHeight="false" outlineLevel="0" collapsed="false">
      <c r="A65" s="11" t="s">
        <v>81</v>
      </c>
      <c r="B65" s="23" t="n">
        <f aca="false">B50</f>
        <v>5388</v>
      </c>
      <c r="C65" s="23" t="n">
        <f aca="false">B50</f>
        <v>5388</v>
      </c>
      <c r="D65" s="22" t="s">
        <v>82</v>
      </c>
      <c r="E65" s="22"/>
      <c r="F65" s="22"/>
      <c r="G65" s="22"/>
      <c r="H65" s="22"/>
      <c r="I65" s="22"/>
    </row>
    <row r="66" customFormat="false" ht="15" hidden="false" customHeight="false" outlineLevel="0" collapsed="false">
      <c r="A66" s="14" t="s">
        <v>83</v>
      </c>
      <c r="B66" s="24" t="n">
        <f aca="false">SUM(B54:B65)</f>
        <v>11278</v>
      </c>
      <c r="C66" s="24" t="n">
        <f aca="false">SUM(C54:C65)</f>
        <v>16508</v>
      </c>
      <c r="D66" s="25" t="s">
        <v>84</v>
      </c>
      <c r="E66" s="25"/>
      <c r="F66" s="25"/>
      <c r="G66" s="25"/>
      <c r="H66" s="25"/>
      <c r="I66" s="25"/>
    </row>
    <row r="68" customFormat="false" ht="15" hidden="false" customHeight="true" outlineLevel="0" collapsed="false">
      <c r="A68" s="26" t="s">
        <v>85</v>
      </c>
      <c r="B68" s="26"/>
      <c r="C68" s="26"/>
      <c r="D68" s="26"/>
      <c r="E68" s="26"/>
      <c r="F68" s="26"/>
      <c r="G68" s="26"/>
      <c r="H68" s="26"/>
      <c r="I68" s="26"/>
    </row>
  </sheetData>
  <mergeCells count="44">
    <mergeCell ref="A1:I1"/>
    <mergeCell ref="A3:I3"/>
    <mergeCell ref="C4:I4"/>
    <mergeCell ref="C5:I5"/>
    <mergeCell ref="C6:I6"/>
    <mergeCell ref="C7:I7"/>
    <mergeCell ref="C8:I8"/>
    <mergeCell ref="C9:I9"/>
    <mergeCell ref="C10:I10"/>
    <mergeCell ref="C11:I11"/>
    <mergeCell ref="A13:I13"/>
    <mergeCell ref="A24:I24"/>
    <mergeCell ref="A34:I34"/>
    <mergeCell ref="B35:I35"/>
    <mergeCell ref="B36:I36"/>
    <mergeCell ref="B37:I37"/>
    <mergeCell ref="B38:I38"/>
    <mergeCell ref="B39:I39"/>
    <mergeCell ref="B40:I40"/>
    <mergeCell ref="B41:I41"/>
    <mergeCell ref="B42:I42"/>
    <mergeCell ref="A44:I44"/>
    <mergeCell ref="C45:I45"/>
    <mergeCell ref="C46:I46"/>
    <mergeCell ref="C47:I47"/>
    <mergeCell ref="B48:I48"/>
    <mergeCell ref="B49:I49"/>
    <mergeCell ref="B50:I50"/>
    <mergeCell ref="A52:I52"/>
    <mergeCell ref="D53:I53"/>
    <mergeCell ref="D54:I54"/>
    <mergeCell ref="D55:I55"/>
    <mergeCell ref="D56:I56"/>
    <mergeCell ref="D57:I57"/>
    <mergeCell ref="D58:I58"/>
    <mergeCell ref="D59:I59"/>
    <mergeCell ref="D60:I60"/>
    <mergeCell ref="D61:I61"/>
    <mergeCell ref="D62:I62"/>
    <mergeCell ref="D63:I63"/>
    <mergeCell ref="D64:I64"/>
    <mergeCell ref="D65:I65"/>
    <mergeCell ref="D66:I66"/>
    <mergeCell ref="A68:I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"/>
    <col collapsed="false" customWidth="true" hidden="false" outlineLevel="0" max="5" min="3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13"/>
  </cols>
  <sheetData>
    <row r="1" customFormat="false" ht="37.5" hidden="false" customHeight="true" outlineLevel="0" collapsed="false">
      <c r="A1" s="1" t="s">
        <v>86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8" hidden="false" customHeight="true" outlineLevel="0" collapsed="false">
      <c r="A3" s="2" t="s">
        <v>87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88</v>
      </c>
      <c r="B4" s="27" t="n">
        <f aca="false">'Custos &amp; Ponto Equilíbrio'!B6</f>
        <v>2.9</v>
      </c>
      <c r="C4" s="3" t="s">
        <v>89</v>
      </c>
      <c r="D4" s="28" t="n">
        <f aca="false">'Custos &amp; Ponto Equilíbrio'!B8</f>
        <v>0.08</v>
      </c>
      <c r="E4" s="3" t="s">
        <v>90</v>
      </c>
      <c r="F4" s="28" t="n">
        <f aca="false">'Custos &amp; Ponto Equilíbrio'!B4</f>
        <v>0.35</v>
      </c>
      <c r="G4" s="5" t="s">
        <v>91</v>
      </c>
      <c r="H4" s="5"/>
      <c r="I4" s="5"/>
      <c r="J4" s="5"/>
    </row>
    <row r="6" customFormat="false" ht="21.75" hidden="false" customHeight="true" outlineLevel="0" collapsed="false">
      <c r="A6" s="29" t="s">
        <v>92</v>
      </c>
      <c r="B6" s="29"/>
      <c r="C6" s="29"/>
      <c r="D6" s="29"/>
      <c r="E6" s="29"/>
      <c r="F6" s="29"/>
      <c r="G6" s="29"/>
      <c r="H6" s="29"/>
      <c r="I6" s="29"/>
      <c r="J6" s="29"/>
    </row>
    <row r="7" customFormat="false" ht="19.4" hidden="false" customHeight="false" outlineLevel="0" collapsed="false">
      <c r="A7" s="30" t="s">
        <v>93</v>
      </c>
      <c r="B7" s="30" t="s">
        <v>94</v>
      </c>
      <c r="C7" s="30" t="s">
        <v>95</v>
      </c>
      <c r="D7" s="30" t="s">
        <v>96</v>
      </c>
      <c r="E7" s="30" t="s">
        <v>97</v>
      </c>
      <c r="F7" s="30" t="s">
        <v>98</v>
      </c>
      <c r="G7" s="30" t="s">
        <v>99</v>
      </c>
      <c r="H7" s="30" t="s">
        <v>100</v>
      </c>
      <c r="I7" s="30" t="s">
        <v>101</v>
      </c>
      <c r="J7" s="30" t="s">
        <v>102</v>
      </c>
    </row>
    <row r="8" customFormat="false" ht="15" hidden="false" customHeight="false" outlineLevel="0" collapsed="false">
      <c r="A8" s="11" t="s">
        <v>103</v>
      </c>
      <c r="B8" s="31" t="s">
        <v>104</v>
      </c>
      <c r="C8" s="32" t="n">
        <v>1000</v>
      </c>
      <c r="D8" s="33" t="n">
        <v>0.0055</v>
      </c>
      <c r="E8" s="13" t="n">
        <f aca="false">C8*D8</f>
        <v>5.5</v>
      </c>
      <c r="F8" s="34" t="n">
        <v>1</v>
      </c>
      <c r="G8" s="13" t="n">
        <f aca="false">E8*F8</f>
        <v>5.5</v>
      </c>
      <c r="H8" s="35" t="n">
        <f aca="false">IFERROR(G8/SUM(G8:G19),0)</f>
        <v>0.112210547791492</v>
      </c>
      <c r="I8" s="36" t="s">
        <v>105</v>
      </c>
      <c r="J8" s="37" t="n">
        <f aca="true">TODAY()</f>
        <v>46241</v>
      </c>
    </row>
    <row r="9" customFormat="false" ht="15" hidden="false" customHeight="false" outlineLevel="0" collapsed="false">
      <c r="A9" s="11" t="s">
        <v>106</v>
      </c>
      <c r="B9" s="31" t="s">
        <v>104</v>
      </c>
      <c r="C9" s="32" t="n">
        <v>10</v>
      </c>
      <c r="D9" s="33" t="n">
        <v>0.036</v>
      </c>
      <c r="E9" s="13" t="n">
        <f aca="false">C9*D9</f>
        <v>0.36</v>
      </c>
      <c r="F9" s="34" t="n">
        <v>1</v>
      </c>
      <c r="G9" s="13" t="n">
        <f aca="false">E9*F9</f>
        <v>0.36</v>
      </c>
      <c r="H9" s="35" t="n">
        <f aca="false">IFERROR(G9/SUM(G8:G19),0)</f>
        <v>0.00734469040089768</v>
      </c>
      <c r="I9" s="36"/>
      <c r="J9" s="37" t="n">
        <f aca="true">TODAY()</f>
        <v>46241</v>
      </c>
    </row>
    <row r="10" customFormat="false" ht="15" hidden="false" customHeight="false" outlineLevel="0" collapsed="false">
      <c r="A10" s="11" t="s">
        <v>107</v>
      </c>
      <c r="B10" s="31" t="s">
        <v>104</v>
      </c>
      <c r="C10" s="32" t="n">
        <v>80</v>
      </c>
      <c r="D10" s="33" t="n">
        <v>0.0045</v>
      </c>
      <c r="E10" s="13" t="n">
        <f aca="false">C10*D10</f>
        <v>0.36</v>
      </c>
      <c r="F10" s="34" t="n">
        <v>1</v>
      </c>
      <c r="G10" s="13" t="n">
        <f aca="false">E10*F10</f>
        <v>0.36</v>
      </c>
      <c r="H10" s="35" t="n">
        <f aca="false">IFERROR(G10/SUM(G8:G19),0)</f>
        <v>0.00734469040089768</v>
      </c>
      <c r="I10" s="36"/>
      <c r="J10" s="37" t="n">
        <f aca="true">TODAY()</f>
        <v>46241</v>
      </c>
    </row>
    <row r="11" customFormat="false" ht="15" hidden="false" customHeight="false" outlineLevel="0" collapsed="false">
      <c r="A11" s="11" t="s">
        <v>108</v>
      </c>
      <c r="B11" s="31" t="s">
        <v>104</v>
      </c>
      <c r="C11" s="32" t="n">
        <v>15</v>
      </c>
      <c r="D11" s="33" t="n">
        <v>0.003</v>
      </c>
      <c r="E11" s="13" t="n">
        <f aca="false">C11*D11</f>
        <v>0.045</v>
      </c>
      <c r="F11" s="34" t="n">
        <v>1</v>
      </c>
      <c r="G11" s="13" t="n">
        <f aca="false">E11*F11</f>
        <v>0.045</v>
      </c>
      <c r="H11" s="35" t="n">
        <f aca="false">IFERROR(G11/SUM(G8:G19),0)</f>
        <v>0.000918086300112211</v>
      </c>
      <c r="I11" s="36"/>
      <c r="J11" s="37" t="n">
        <f aca="true">TODAY()</f>
        <v>46241</v>
      </c>
    </row>
    <row r="12" customFormat="false" ht="15" hidden="false" customHeight="false" outlineLevel="0" collapsed="false">
      <c r="A12" s="11" t="s">
        <v>109</v>
      </c>
      <c r="B12" s="31" t="s">
        <v>110</v>
      </c>
      <c r="C12" s="32" t="n">
        <v>2</v>
      </c>
      <c r="D12" s="33" t="n">
        <v>1</v>
      </c>
      <c r="E12" s="13" t="n">
        <f aca="false">C12*D12</f>
        <v>2</v>
      </c>
      <c r="F12" s="34" t="n">
        <v>1</v>
      </c>
      <c r="G12" s="13" t="n">
        <f aca="false">E12*F12</f>
        <v>2</v>
      </c>
      <c r="H12" s="35" t="n">
        <f aca="false">IFERROR(G12/SUM(G8:G19),0)</f>
        <v>0.0408038355605427</v>
      </c>
      <c r="I12" s="36"/>
      <c r="J12" s="37" t="n">
        <f aca="true">TODAY()</f>
        <v>46241</v>
      </c>
    </row>
    <row r="13" customFormat="false" ht="15" hidden="false" customHeight="false" outlineLevel="0" collapsed="false">
      <c r="A13" s="11" t="s">
        <v>111</v>
      </c>
      <c r="B13" s="31" t="s">
        <v>112</v>
      </c>
      <c r="C13" s="32" t="n">
        <v>300</v>
      </c>
      <c r="D13" s="33" t="n">
        <v>0.005</v>
      </c>
      <c r="E13" s="13" t="n">
        <f aca="false">C13*D13</f>
        <v>1.5</v>
      </c>
      <c r="F13" s="34" t="n">
        <v>1</v>
      </c>
      <c r="G13" s="13" t="n">
        <f aca="false">E13*F13</f>
        <v>1.5</v>
      </c>
      <c r="H13" s="35" t="n">
        <f aca="false">IFERROR(G13/SUM(G8:G19),0)</f>
        <v>0.030602876670407</v>
      </c>
      <c r="I13" s="36"/>
      <c r="J13" s="37" t="n">
        <f aca="true">TODAY()</f>
        <v>46241</v>
      </c>
    </row>
    <row r="14" customFormat="false" ht="15" hidden="false" customHeight="false" outlineLevel="0" collapsed="false">
      <c r="A14" s="11" t="s">
        <v>113</v>
      </c>
      <c r="B14" s="31" t="s">
        <v>104</v>
      </c>
      <c r="C14" s="32" t="n">
        <v>60</v>
      </c>
      <c r="D14" s="33" t="n">
        <v>0.035</v>
      </c>
      <c r="E14" s="13" t="n">
        <f aca="false">C14*D14</f>
        <v>2.1</v>
      </c>
      <c r="F14" s="34" t="n">
        <v>1</v>
      </c>
      <c r="G14" s="13" t="n">
        <f aca="false">E14*F14</f>
        <v>2.1</v>
      </c>
      <c r="H14" s="35" t="n">
        <f aca="false">IFERROR(G14/SUM(G8:G19),0)</f>
        <v>0.0428440273385698</v>
      </c>
      <c r="I14" s="36"/>
      <c r="J14" s="37" t="n">
        <f aca="true">TODAY()</f>
        <v>46241</v>
      </c>
    </row>
    <row r="15" customFormat="false" ht="15" hidden="false" customHeight="false" outlineLevel="0" collapsed="false">
      <c r="A15" s="11" t="s">
        <v>114</v>
      </c>
      <c r="B15" s="31" t="s">
        <v>104</v>
      </c>
      <c r="C15" s="32" t="n">
        <v>500</v>
      </c>
      <c r="D15" s="33" t="n">
        <v>0.022</v>
      </c>
      <c r="E15" s="13" t="n">
        <f aca="false">C15*D15</f>
        <v>11</v>
      </c>
      <c r="F15" s="34" t="n">
        <v>1.05</v>
      </c>
      <c r="G15" s="13" t="n">
        <f aca="false">E15*F15</f>
        <v>11.55</v>
      </c>
      <c r="H15" s="35" t="n">
        <f aca="false">IFERROR(G15/SUM(G8:G19),0)</f>
        <v>0.235642150362134</v>
      </c>
      <c r="I15" s="36" t="s">
        <v>115</v>
      </c>
      <c r="J15" s="37" t="n">
        <f aca="true">TODAY()</f>
        <v>46241</v>
      </c>
    </row>
    <row r="16" customFormat="false" ht="15" hidden="false" customHeight="false" outlineLevel="0" collapsed="false">
      <c r="A16" s="11" t="s">
        <v>116</v>
      </c>
      <c r="B16" s="31" t="s">
        <v>104</v>
      </c>
      <c r="C16" s="32" t="n">
        <v>300</v>
      </c>
      <c r="D16" s="33" t="n">
        <v>0.032</v>
      </c>
      <c r="E16" s="13" t="n">
        <f aca="false">C16*D16</f>
        <v>9.6</v>
      </c>
      <c r="F16" s="34" t="n">
        <v>1</v>
      </c>
      <c r="G16" s="13" t="n">
        <f aca="false">E16*F16</f>
        <v>9.6</v>
      </c>
      <c r="H16" s="35" t="n">
        <f aca="false">IFERROR(G16/SUM(G8:G19),0)</f>
        <v>0.195858410690605</v>
      </c>
      <c r="I16" s="36"/>
      <c r="J16" s="37" t="n">
        <f aca="true">TODAY()</f>
        <v>46241</v>
      </c>
    </row>
    <row r="17" customFormat="false" ht="15" hidden="false" customHeight="false" outlineLevel="0" collapsed="false">
      <c r="A17" s="11" t="s">
        <v>117</v>
      </c>
      <c r="B17" s="31" t="s">
        <v>104</v>
      </c>
      <c r="C17" s="32" t="n">
        <v>100</v>
      </c>
      <c r="D17" s="33" t="n">
        <v>0.07</v>
      </c>
      <c r="E17" s="13" t="n">
        <f aca="false">C17*D17</f>
        <v>7</v>
      </c>
      <c r="F17" s="34" t="n">
        <v>1</v>
      </c>
      <c r="G17" s="13" t="n">
        <f aca="false">E17*F17</f>
        <v>7</v>
      </c>
      <c r="H17" s="35" t="n">
        <f aca="false">IFERROR(G17/SUM(G8:G19),0)</f>
        <v>0.142813424461899</v>
      </c>
      <c r="I17" s="36"/>
      <c r="J17" s="37" t="n">
        <f aca="true">TODAY()</f>
        <v>46241</v>
      </c>
    </row>
    <row r="18" customFormat="false" ht="15" hidden="false" customHeight="false" outlineLevel="0" collapsed="false">
      <c r="A18" s="11" t="s">
        <v>118</v>
      </c>
      <c r="B18" s="31" t="s">
        <v>119</v>
      </c>
      <c r="C18" s="32" t="n">
        <v>1</v>
      </c>
      <c r="D18" s="33" t="n">
        <v>1</v>
      </c>
      <c r="E18" s="13" t="n">
        <f aca="false">C18*D18</f>
        <v>1</v>
      </c>
      <c r="F18" s="34" t="n">
        <v>1</v>
      </c>
      <c r="G18" s="13" t="n">
        <f aca="false">E18*F18</f>
        <v>1</v>
      </c>
      <c r="H18" s="35" t="n">
        <f aca="false">IFERROR(G18/SUM(G8:G19),0)</f>
        <v>0.0204019177802713</v>
      </c>
      <c r="I18" s="36" t="s">
        <v>120</v>
      </c>
      <c r="J18" s="37" t="n">
        <f aca="true">TODAY()</f>
        <v>46241</v>
      </c>
    </row>
    <row r="19" customFormat="false" ht="15" hidden="false" customHeight="false" outlineLevel="0" collapsed="false">
      <c r="A19" s="11" t="s">
        <v>121</v>
      </c>
      <c r="B19" s="31" t="s">
        <v>110</v>
      </c>
      <c r="C19" s="32" t="n">
        <v>20</v>
      </c>
      <c r="D19" s="33" t="n">
        <v>0.4</v>
      </c>
      <c r="E19" s="13" t="n">
        <f aca="false">C19*D19</f>
        <v>8</v>
      </c>
      <c r="F19" s="34" t="n">
        <v>1</v>
      </c>
      <c r="G19" s="13" t="n">
        <f aca="false">E19*F19</f>
        <v>8</v>
      </c>
      <c r="H19" s="35" t="n">
        <f aca="false">IFERROR(G19/SUM(G8:G19),0)</f>
        <v>0.163215342242171</v>
      </c>
      <c r="I19" s="36" t="s">
        <v>122</v>
      </c>
      <c r="J19" s="37" t="n">
        <f aca="true">TODAY()</f>
        <v>46241</v>
      </c>
    </row>
    <row r="20" customFormat="false" ht="15" hidden="false" customHeight="false" outlineLevel="0" collapsed="false">
      <c r="A20" s="38" t="s">
        <v>123</v>
      </c>
      <c r="B20" s="39"/>
      <c r="C20" s="39"/>
      <c r="D20" s="39"/>
      <c r="E20" s="39"/>
      <c r="F20" s="39"/>
      <c r="G20" s="40" t="n">
        <f aca="false">SUM(G8:G19)</f>
        <v>49.015</v>
      </c>
      <c r="H20" s="40"/>
      <c r="I20" s="40"/>
      <c r="J20" s="40"/>
    </row>
    <row r="21" customFormat="false" ht="15" hidden="false" customHeight="false" outlineLevel="0" collapsed="false">
      <c r="A21" s="41" t="s">
        <v>124</v>
      </c>
      <c r="B21" s="42"/>
      <c r="C21" s="42"/>
      <c r="D21" s="42"/>
      <c r="E21" s="42"/>
      <c r="F21" s="42"/>
      <c r="G21" s="43" t="n">
        <f aca="false">G20*(1+'Custos &amp; Ponto Equilíbrio'!$B$8)</f>
        <v>52.9362</v>
      </c>
      <c r="H21" s="43"/>
      <c r="I21" s="43"/>
      <c r="J21" s="43"/>
    </row>
    <row r="22" customFormat="false" ht="15" hidden="false" customHeight="false" outlineLevel="0" collapsed="false">
      <c r="A22" s="3" t="s">
        <v>125</v>
      </c>
      <c r="B22" s="44"/>
      <c r="C22" s="44"/>
      <c r="D22" s="44"/>
      <c r="E22" s="44"/>
      <c r="F22" s="44"/>
      <c r="G22" s="45" t="n">
        <v>20</v>
      </c>
      <c r="H22" s="45"/>
      <c r="I22" s="45"/>
      <c r="J22" s="45"/>
    </row>
    <row r="23" customFormat="false" ht="15" hidden="false" customHeight="false" outlineLevel="0" collapsed="false">
      <c r="A23" s="46" t="s">
        <v>126</v>
      </c>
      <c r="B23" s="44"/>
      <c r="C23" s="44"/>
      <c r="D23" s="44"/>
      <c r="E23" s="44"/>
      <c r="F23" s="44"/>
      <c r="G23" s="17" t="n">
        <f aca="false">G21/G22</f>
        <v>2.64681</v>
      </c>
      <c r="H23" s="17"/>
      <c r="I23" s="17"/>
      <c r="J23" s="17"/>
    </row>
    <row r="24" customFormat="false" ht="15" hidden="false" customHeight="false" outlineLevel="0" collapsed="false">
      <c r="A24" s="47" t="s">
        <v>127</v>
      </c>
      <c r="B24" s="48"/>
      <c r="C24" s="48"/>
      <c r="D24" s="48"/>
      <c r="E24" s="48"/>
      <c r="F24" s="48"/>
      <c r="G24" s="49" t="n">
        <f aca="false">G23*'Custos &amp; Ponto Equilíbrio'!$B$6</f>
        <v>7.675749</v>
      </c>
      <c r="H24" s="49"/>
      <c r="I24" s="49"/>
      <c r="J24" s="49"/>
    </row>
    <row r="25" customFormat="false" ht="15" hidden="false" customHeight="false" outlineLevel="0" collapsed="false">
      <c r="A25" s="50" t="s">
        <v>128</v>
      </c>
      <c r="B25" s="51"/>
      <c r="C25" s="51"/>
      <c r="D25" s="51"/>
      <c r="E25" s="51"/>
      <c r="F25" s="51"/>
      <c r="G25" s="52" t="n">
        <f aca="false">IFERROR(G23/G24,0)</f>
        <v>0.344827586206897</v>
      </c>
      <c r="H25" s="52"/>
      <c r="I25" s="52"/>
      <c r="J25" s="52"/>
    </row>
    <row r="26" customFormat="false" ht="15" hidden="false" customHeight="false" outlineLevel="0" collapsed="false">
      <c r="A26" s="46" t="s">
        <v>129</v>
      </c>
      <c r="B26" s="44"/>
      <c r="C26" s="44"/>
      <c r="D26" s="44"/>
      <c r="E26" s="44"/>
      <c r="F26" s="44"/>
      <c r="G26" s="18" t="n">
        <f aca="false">IFERROR(1-G25,0)</f>
        <v>0.655172413793103</v>
      </c>
      <c r="H26" s="18"/>
      <c r="I26" s="18"/>
      <c r="J26" s="18"/>
    </row>
    <row r="28" customFormat="false" ht="21.75" hidden="false" customHeight="true" outlineLevel="0" collapsed="false">
      <c r="A28" s="29" t="s">
        <v>130</v>
      </c>
      <c r="B28" s="29"/>
      <c r="C28" s="29"/>
      <c r="D28" s="29"/>
      <c r="E28" s="29"/>
      <c r="F28" s="29"/>
      <c r="G28" s="29"/>
      <c r="H28" s="29"/>
      <c r="I28" s="29"/>
      <c r="J28" s="29"/>
    </row>
    <row r="29" customFormat="false" ht="19.4" hidden="false" customHeight="false" outlineLevel="0" collapsed="false">
      <c r="A29" s="30" t="s">
        <v>93</v>
      </c>
      <c r="B29" s="30" t="s">
        <v>94</v>
      </c>
      <c r="C29" s="30" t="s">
        <v>95</v>
      </c>
      <c r="D29" s="30" t="s">
        <v>96</v>
      </c>
      <c r="E29" s="30" t="s">
        <v>97</v>
      </c>
      <c r="F29" s="30" t="s">
        <v>98</v>
      </c>
      <c r="G29" s="30" t="s">
        <v>99</v>
      </c>
      <c r="H29" s="30" t="s">
        <v>100</v>
      </c>
      <c r="I29" s="30" t="s">
        <v>101</v>
      </c>
      <c r="J29" s="30" t="s">
        <v>102</v>
      </c>
    </row>
    <row r="30" customFormat="false" ht="15" hidden="false" customHeight="false" outlineLevel="0" collapsed="false">
      <c r="A30" s="11" t="s">
        <v>103</v>
      </c>
      <c r="B30" s="31" t="s">
        <v>104</v>
      </c>
      <c r="C30" s="32" t="n">
        <v>1000</v>
      </c>
      <c r="D30" s="33" t="n">
        <v>0.0055</v>
      </c>
      <c r="E30" s="13" t="n">
        <f aca="false">C30*D30</f>
        <v>5.5</v>
      </c>
      <c r="F30" s="34" t="n">
        <v>1</v>
      </c>
      <c r="G30" s="13" t="n">
        <f aca="false">E30*F30</f>
        <v>5.5</v>
      </c>
      <c r="H30" s="35" t="n">
        <f aca="false">IFERROR(G30/SUM(G30:G40),0)</f>
        <v>0.146024160361078</v>
      </c>
      <c r="I30" s="36" t="s">
        <v>105</v>
      </c>
      <c r="J30" s="37" t="n">
        <f aca="true">TODAY()</f>
        <v>46241</v>
      </c>
    </row>
    <row r="31" customFormat="false" ht="15" hidden="false" customHeight="false" outlineLevel="0" collapsed="false">
      <c r="A31" s="11" t="s">
        <v>106</v>
      </c>
      <c r="B31" s="31" t="s">
        <v>104</v>
      </c>
      <c r="C31" s="32" t="n">
        <v>10</v>
      </c>
      <c r="D31" s="33" t="n">
        <v>0.036</v>
      </c>
      <c r="E31" s="13" t="n">
        <f aca="false">C31*D31</f>
        <v>0.36</v>
      </c>
      <c r="F31" s="34" t="n">
        <v>1</v>
      </c>
      <c r="G31" s="13" t="n">
        <f aca="false">E31*F31</f>
        <v>0.36</v>
      </c>
      <c r="H31" s="35" t="n">
        <f aca="false">IFERROR(G31/SUM(G30:G40),0)</f>
        <v>0.00955794504181601</v>
      </c>
      <c r="I31" s="36"/>
      <c r="J31" s="37" t="n">
        <f aca="true">TODAY()</f>
        <v>46241</v>
      </c>
    </row>
    <row r="32" customFormat="false" ht="15" hidden="false" customHeight="false" outlineLevel="0" collapsed="false">
      <c r="A32" s="11" t="s">
        <v>107</v>
      </c>
      <c r="B32" s="31" t="s">
        <v>104</v>
      </c>
      <c r="C32" s="32" t="n">
        <v>80</v>
      </c>
      <c r="D32" s="33" t="n">
        <v>0.0045</v>
      </c>
      <c r="E32" s="13" t="n">
        <f aca="false">C32*D32</f>
        <v>0.36</v>
      </c>
      <c r="F32" s="34" t="n">
        <v>1</v>
      </c>
      <c r="G32" s="13" t="n">
        <f aca="false">E32*F32</f>
        <v>0.36</v>
      </c>
      <c r="H32" s="35" t="n">
        <f aca="false">IFERROR(G32/SUM(G30:G40),0)</f>
        <v>0.00955794504181601</v>
      </c>
      <c r="I32" s="36"/>
      <c r="J32" s="37" t="n">
        <f aca="true">TODAY()</f>
        <v>46241</v>
      </c>
    </row>
    <row r="33" customFormat="false" ht="15" hidden="false" customHeight="false" outlineLevel="0" collapsed="false">
      <c r="A33" s="11" t="s">
        <v>108</v>
      </c>
      <c r="B33" s="31" t="s">
        <v>104</v>
      </c>
      <c r="C33" s="32" t="n">
        <v>15</v>
      </c>
      <c r="D33" s="33" t="n">
        <v>0.003</v>
      </c>
      <c r="E33" s="13" t="n">
        <f aca="false">C33*D33</f>
        <v>0.045</v>
      </c>
      <c r="F33" s="34" t="n">
        <v>1</v>
      </c>
      <c r="G33" s="13" t="n">
        <f aca="false">E33*F33</f>
        <v>0.045</v>
      </c>
      <c r="H33" s="35" t="n">
        <f aca="false">IFERROR(G33/SUM(G30:G40),0)</f>
        <v>0.001194743130227</v>
      </c>
      <c r="I33" s="36"/>
      <c r="J33" s="37" t="n">
        <f aca="true">TODAY()</f>
        <v>46241</v>
      </c>
    </row>
    <row r="34" customFormat="false" ht="15" hidden="false" customHeight="false" outlineLevel="0" collapsed="false">
      <c r="A34" s="11" t="s">
        <v>109</v>
      </c>
      <c r="B34" s="31" t="s">
        <v>110</v>
      </c>
      <c r="C34" s="32" t="n">
        <v>2</v>
      </c>
      <c r="D34" s="33" t="n">
        <v>1</v>
      </c>
      <c r="E34" s="13" t="n">
        <f aca="false">C34*D34</f>
        <v>2</v>
      </c>
      <c r="F34" s="34" t="n">
        <v>1</v>
      </c>
      <c r="G34" s="13" t="n">
        <f aca="false">E34*F34</f>
        <v>2</v>
      </c>
      <c r="H34" s="35" t="n">
        <f aca="false">IFERROR(G34/SUM(G30:G40),0)</f>
        <v>0.0530996946767556</v>
      </c>
      <c r="I34" s="36"/>
      <c r="J34" s="37" t="n">
        <f aca="true">TODAY()</f>
        <v>46241</v>
      </c>
    </row>
    <row r="35" customFormat="false" ht="15" hidden="false" customHeight="false" outlineLevel="0" collapsed="false">
      <c r="A35" s="11" t="s">
        <v>111</v>
      </c>
      <c r="B35" s="31" t="s">
        <v>112</v>
      </c>
      <c r="C35" s="32" t="n">
        <v>300</v>
      </c>
      <c r="D35" s="33" t="n">
        <v>0.005</v>
      </c>
      <c r="E35" s="13" t="n">
        <f aca="false">C35*D35</f>
        <v>1.5</v>
      </c>
      <c r="F35" s="34" t="n">
        <v>1</v>
      </c>
      <c r="G35" s="13" t="n">
        <f aca="false">E35*F35</f>
        <v>1.5</v>
      </c>
      <c r="H35" s="35" t="n">
        <f aca="false">IFERROR(G35/SUM(G30:G40),0)</f>
        <v>0.0398247710075667</v>
      </c>
      <c r="I35" s="36"/>
      <c r="J35" s="37" t="n">
        <f aca="true">TODAY()</f>
        <v>46241</v>
      </c>
    </row>
    <row r="36" customFormat="false" ht="15" hidden="false" customHeight="false" outlineLevel="0" collapsed="false">
      <c r="A36" s="11" t="s">
        <v>113</v>
      </c>
      <c r="B36" s="31" t="s">
        <v>104</v>
      </c>
      <c r="C36" s="32" t="n">
        <v>60</v>
      </c>
      <c r="D36" s="33" t="n">
        <v>0.035</v>
      </c>
      <c r="E36" s="13" t="n">
        <f aca="false">C36*D36</f>
        <v>2.1</v>
      </c>
      <c r="F36" s="34" t="n">
        <v>1</v>
      </c>
      <c r="G36" s="13" t="n">
        <f aca="false">E36*F36</f>
        <v>2.1</v>
      </c>
      <c r="H36" s="35" t="n">
        <f aca="false">IFERROR(G36/SUM(G30:G40),0)</f>
        <v>0.0557546794105934</v>
      </c>
      <c r="I36" s="36"/>
      <c r="J36" s="37" t="n">
        <f aca="true">TODAY()</f>
        <v>46241</v>
      </c>
    </row>
    <row r="37" customFormat="false" ht="15" hidden="false" customHeight="false" outlineLevel="0" collapsed="false">
      <c r="A37" s="11" t="s">
        <v>131</v>
      </c>
      <c r="B37" s="31" t="s">
        <v>104</v>
      </c>
      <c r="C37" s="32" t="n">
        <v>400</v>
      </c>
      <c r="D37" s="33" t="n">
        <v>0.022</v>
      </c>
      <c r="E37" s="13" t="n">
        <f aca="false">C37*D37</f>
        <v>8.8</v>
      </c>
      <c r="F37" s="34" t="n">
        <v>1</v>
      </c>
      <c r="G37" s="13" t="n">
        <f aca="false">E37*F37</f>
        <v>8.8</v>
      </c>
      <c r="H37" s="35" t="n">
        <f aca="false">IFERROR(G37/SUM(G30:G40),0)</f>
        <v>0.233638656577725</v>
      </c>
      <c r="I37" s="36" t="s">
        <v>132</v>
      </c>
      <c r="J37" s="37" t="n">
        <f aca="true">TODAY()</f>
        <v>46241</v>
      </c>
    </row>
    <row r="38" customFormat="false" ht="15" hidden="false" customHeight="false" outlineLevel="0" collapsed="false">
      <c r="A38" s="11" t="s">
        <v>116</v>
      </c>
      <c r="B38" s="31" t="s">
        <v>104</v>
      </c>
      <c r="C38" s="32" t="n">
        <v>250</v>
      </c>
      <c r="D38" s="33" t="n">
        <v>0.032</v>
      </c>
      <c r="E38" s="13" t="n">
        <f aca="false">C38*D38</f>
        <v>8</v>
      </c>
      <c r="F38" s="34" t="n">
        <v>1</v>
      </c>
      <c r="G38" s="13" t="n">
        <f aca="false">E38*F38</f>
        <v>8</v>
      </c>
      <c r="H38" s="35" t="n">
        <f aca="false">IFERROR(G38/SUM(G30:G40),0)</f>
        <v>0.212398778707022</v>
      </c>
      <c r="I38" s="36"/>
      <c r="J38" s="37" t="n">
        <f aca="true">TODAY()</f>
        <v>46241</v>
      </c>
    </row>
    <row r="39" customFormat="false" ht="15" hidden="false" customHeight="false" outlineLevel="0" collapsed="false">
      <c r="A39" s="11" t="s">
        <v>133</v>
      </c>
      <c r="B39" s="31" t="s">
        <v>119</v>
      </c>
      <c r="C39" s="32" t="n">
        <v>1</v>
      </c>
      <c r="D39" s="33" t="n">
        <v>1</v>
      </c>
      <c r="E39" s="13" t="n">
        <f aca="false">C39*D39</f>
        <v>1</v>
      </c>
      <c r="F39" s="34" t="n">
        <v>1</v>
      </c>
      <c r="G39" s="13" t="n">
        <f aca="false">E39*F39</f>
        <v>1</v>
      </c>
      <c r="H39" s="35" t="n">
        <f aca="false">IFERROR(G39/SUM(G30:G40),0)</f>
        <v>0.0265498473383778</v>
      </c>
      <c r="I39" s="36" t="s">
        <v>120</v>
      </c>
      <c r="J39" s="37" t="n">
        <f aca="true">TODAY()</f>
        <v>46241</v>
      </c>
    </row>
    <row r="40" customFormat="false" ht="15" hidden="false" customHeight="false" outlineLevel="0" collapsed="false">
      <c r="A40" s="11" t="s">
        <v>121</v>
      </c>
      <c r="B40" s="31" t="s">
        <v>110</v>
      </c>
      <c r="C40" s="32" t="n">
        <v>20</v>
      </c>
      <c r="D40" s="33" t="n">
        <v>0.4</v>
      </c>
      <c r="E40" s="13" t="n">
        <f aca="false">C40*D40</f>
        <v>8</v>
      </c>
      <c r="F40" s="34" t="n">
        <v>1</v>
      </c>
      <c r="G40" s="13" t="n">
        <f aca="false">E40*F40</f>
        <v>8</v>
      </c>
      <c r="H40" s="35" t="n">
        <f aca="false">IFERROR(G40/SUM(G30:G40),0)</f>
        <v>0.212398778707022</v>
      </c>
      <c r="I40" s="36" t="s">
        <v>122</v>
      </c>
      <c r="J40" s="37" t="n">
        <f aca="true">TODAY()</f>
        <v>46241</v>
      </c>
    </row>
    <row r="41" customFormat="false" ht="15" hidden="false" customHeight="false" outlineLevel="0" collapsed="false">
      <c r="A41" s="38" t="s">
        <v>123</v>
      </c>
      <c r="B41" s="39"/>
      <c r="C41" s="39"/>
      <c r="D41" s="39"/>
      <c r="E41" s="39"/>
      <c r="F41" s="39"/>
      <c r="G41" s="40" t="n">
        <f aca="false">SUM(G30:G40)</f>
        <v>37.665</v>
      </c>
      <c r="H41" s="40"/>
      <c r="I41" s="40"/>
      <c r="J41" s="40"/>
    </row>
    <row r="42" customFormat="false" ht="15" hidden="false" customHeight="false" outlineLevel="0" collapsed="false">
      <c r="A42" s="41" t="s">
        <v>124</v>
      </c>
      <c r="B42" s="42"/>
      <c r="C42" s="42"/>
      <c r="D42" s="42"/>
      <c r="E42" s="42"/>
      <c r="F42" s="42"/>
      <c r="G42" s="43" t="n">
        <f aca="false">G41*(1+'Custos &amp; Ponto Equilíbrio'!$B$8)</f>
        <v>40.6782</v>
      </c>
      <c r="H42" s="43"/>
      <c r="I42" s="43"/>
      <c r="J42" s="43"/>
    </row>
    <row r="43" customFormat="false" ht="15" hidden="false" customHeight="false" outlineLevel="0" collapsed="false">
      <c r="A43" s="3" t="s">
        <v>125</v>
      </c>
      <c r="B43" s="44"/>
      <c r="C43" s="44"/>
      <c r="D43" s="44"/>
      <c r="E43" s="44"/>
      <c r="F43" s="44"/>
      <c r="G43" s="45" t="n">
        <v>20</v>
      </c>
      <c r="H43" s="45"/>
      <c r="I43" s="45"/>
      <c r="J43" s="45"/>
    </row>
    <row r="44" customFormat="false" ht="15" hidden="false" customHeight="false" outlineLevel="0" collapsed="false">
      <c r="A44" s="46" t="s">
        <v>126</v>
      </c>
      <c r="B44" s="44"/>
      <c r="C44" s="44"/>
      <c r="D44" s="44"/>
      <c r="E44" s="44"/>
      <c r="F44" s="44"/>
      <c r="G44" s="17" t="n">
        <f aca="false">G42/G43</f>
        <v>2.03391</v>
      </c>
      <c r="H44" s="17"/>
      <c r="I44" s="17"/>
      <c r="J44" s="17"/>
    </row>
    <row r="45" customFormat="false" ht="15" hidden="false" customHeight="false" outlineLevel="0" collapsed="false">
      <c r="A45" s="47" t="s">
        <v>127</v>
      </c>
      <c r="B45" s="48"/>
      <c r="C45" s="48"/>
      <c r="D45" s="48"/>
      <c r="E45" s="48"/>
      <c r="F45" s="48"/>
      <c r="G45" s="49" t="n">
        <f aca="false">G44*'Custos &amp; Ponto Equilíbrio'!$B$6</f>
        <v>5.898339</v>
      </c>
      <c r="H45" s="49"/>
      <c r="I45" s="49"/>
      <c r="J45" s="49"/>
    </row>
    <row r="46" customFormat="false" ht="15" hidden="false" customHeight="false" outlineLevel="0" collapsed="false">
      <c r="A46" s="50" t="s">
        <v>128</v>
      </c>
      <c r="B46" s="51"/>
      <c r="C46" s="51"/>
      <c r="D46" s="51"/>
      <c r="E46" s="51"/>
      <c r="F46" s="51"/>
      <c r="G46" s="52" t="n">
        <f aca="false">IFERROR(G44/G45,0)</f>
        <v>0.344827586206897</v>
      </c>
      <c r="H46" s="52"/>
      <c r="I46" s="52"/>
      <c r="J46" s="52"/>
    </row>
    <row r="47" customFormat="false" ht="15" hidden="false" customHeight="false" outlineLevel="0" collapsed="false">
      <c r="A47" s="46" t="s">
        <v>129</v>
      </c>
      <c r="B47" s="44"/>
      <c r="C47" s="44"/>
      <c r="D47" s="44"/>
      <c r="E47" s="44"/>
      <c r="F47" s="44"/>
      <c r="G47" s="18" t="n">
        <f aca="false">IFERROR(1-G46,0)</f>
        <v>0.655172413793103</v>
      </c>
      <c r="H47" s="18"/>
      <c r="I47" s="18"/>
      <c r="J47" s="18"/>
    </row>
    <row r="49" customFormat="false" ht="21.75" hidden="false" customHeight="true" outlineLevel="0" collapsed="false">
      <c r="A49" s="29" t="s">
        <v>134</v>
      </c>
      <c r="B49" s="29"/>
      <c r="C49" s="29"/>
      <c r="D49" s="29"/>
      <c r="E49" s="29"/>
      <c r="F49" s="29"/>
      <c r="G49" s="29"/>
      <c r="H49" s="29"/>
      <c r="I49" s="29"/>
      <c r="J49" s="29"/>
    </row>
    <row r="50" customFormat="false" ht="19.4" hidden="false" customHeight="false" outlineLevel="0" collapsed="false">
      <c r="A50" s="30" t="s">
        <v>93</v>
      </c>
      <c r="B50" s="30" t="s">
        <v>94</v>
      </c>
      <c r="C50" s="30" t="s">
        <v>95</v>
      </c>
      <c r="D50" s="30" t="s">
        <v>96</v>
      </c>
      <c r="E50" s="30" t="s">
        <v>97</v>
      </c>
      <c r="F50" s="30" t="s">
        <v>98</v>
      </c>
      <c r="G50" s="30" t="s">
        <v>99</v>
      </c>
      <c r="H50" s="30" t="s">
        <v>100</v>
      </c>
      <c r="I50" s="30" t="s">
        <v>101</v>
      </c>
      <c r="J50" s="30" t="s">
        <v>102</v>
      </c>
    </row>
    <row r="51" customFormat="false" ht="15" hidden="false" customHeight="false" outlineLevel="0" collapsed="false">
      <c r="A51" s="11" t="s">
        <v>103</v>
      </c>
      <c r="B51" s="31" t="s">
        <v>104</v>
      </c>
      <c r="C51" s="32" t="n">
        <v>1000</v>
      </c>
      <c r="D51" s="33" t="n">
        <v>0.0055</v>
      </c>
      <c r="E51" s="13" t="n">
        <f aca="false">C51*D51</f>
        <v>5.5</v>
      </c>
      <c r="F51" s="34" t="n">
        <v>1</v>
      </c>
      <c r="G51" s="13" t="n">
        <f aca="false">E51*F51</f>
        <v>5.5</v>
      </c>
      <c r="H51" s="35" t="n">
        <f aca="false">IFERROR(G51/SUM(G51:G60),0)</f>
        <v>0.145252872045425</v>
      </c>
      <c r="I51" s="36" t="s">
        <v>105</v>
      </c>
      <c r="J51" s="37" t="n">
        <f aca="true">TODAY()</f>
        <v>46241</v>
      </c>
    </row>
    <row r="52" customFormat="false" ht="15" hidden="false" customHeight="false" outlineLevel="0" collapsed="false">
      <c r="A52" s="11" t="s">
        <v>106</v>
      </c>
      <c r="B52" s="31" t="s">
        <v>104</v>
      </c>
      <c r="C52" s="32" t="n">
        <v>10</v>
      </c>
      <c r="D52" s="33" t="n">
        <v>0.036</v>
      </c>
      <c r="E52" s="13" t="n">
        <f aca="false">C52*D52</f>
        <v>0.36</v>
      </c>
      <c r="F52" s="34" t="n">
        <v>1</v>
      </c>
      <c r="G52" s="13" t="n">
        <f aca="false">E52*F52</f>
        <v>0.36</v>
      </c>
      <c r="H52" s="35" t="n">
        <f aca="false">IFERROR(G52/SUM(G51:G60),0)</f>
        <v>0.00950746071570052</v>
      </c>
      <c r="I52" s="36"/>
      <c r="J52" s="37" t="n">
        <f aca="true">TODAY()</f>
        <v>46241</v>
      </c>
    </row>
    <row r="53" customFormat="false" ht="15" hidden="false" customHeight="false" outlineLevel="0" collapsed="false">
      <c r="A53" s="11" t="s">
        <v>107</v>
      </c>
      <c r="B53" s="31" t="s">
        <v>104</v>
      </c>
      <c r="C53" s="32" t="n">
        <v>80</v>
      </c>
      <c r="D53" s="33" t="n">
        <v>0.0045</v>
      </c>
      <c r="E53" s="13" t="n">
        <f aca="false">C53*D53</f>
        <v>0.36</v>
      </c>
      <c r="F53" s="34" t="n">
        <v>1</v>
      </c>
      <c r="G53" s="13" t="n">
        <f aca="false">E53*F53</f>
        <v>0.36</v>
      </c>
      <c r="H53" s="35" t="n">
        <f aca="false">IFERROR(G53/SUM(G51:G60),0)</f>
        <v>0.00950746071570052</v>
      </c>
      <c r="I53" s="36"/>
      <c r="J53" s="37" t="n">
        <f aca="true">TODAY()</f>
        <v>46241</v>
      </c>
    </row>
    <row r="54" customFormat="false" ht="15" hidden="false" customHeight="false" outlineLevel="0" collapsed="false">
      <c r="A54" s="11" t="s">
        <v>108</v>
      </c>
      <c r="B54" s="31" t="s">
        <v>104</v>
      </c>
      <c r="C54" s="32" t="n">
        <v>15</v>
      </c>
      <c r="D54" s="33" t="n">
        <v>0.003</v>
      </c>
      <c r="E54" s="13" t="n">
        <f aca="false">C54*D54</f>
        <v>0.045</v>
      </c>
      <c r="F54" s="34" t="n">
        <v>1</v>
      </c>
      <c r="G54" s="13" t="n">
        <f aca="false">E54*F54</f>
        <v>0.045</v>
      </c>
      <c r="H54" s="35" t="n">
        <f aca="false">IFERROR(G54/SUM(G51:G60),0)</f>
        <v>0.00118843258946256</v>
      </c>
      <c r="I54" s="36"/>
      <c r="J54" s="37" t="n">
        <f aca="true">TODAY()</f>
        <v>46241</v>
      </c>
    </row>
    <row r="55" customFormat="false" ht="15" hidden="false" customHeight="false" outlineLevel="0" collapsed="false">
      <c r="A55" s="11" t="s">
        <v>109</v>
      </c>
      <c r="B55" s="31" t="s">
        <v>110</v>
      </c>
      <c r="C55" s="32" t="n">
        <v>2</v>
      </c>
      <c r="D55" s="33" t="n">
        <v>1</v>
      </c>
      <c r="E55" s="13" t="n">
        <f aca="false">C55*D55</f>
        <v>2</v>
      </c>
      <c r="F55" s="34" t="n">
        <v>1</v>
      </c>
      <c r="G55" s="13" t="n">
        <f aca="false">E55*F55</f>
        <v>2</v>
      </c>
      <c r="H55" s="35" t="n">
        <f aca="false">IFERROR(G55/SUM(G51:G60),0)</f>
        <v>0.0528192261983362</v>
      </c>
      <c r="I55" s="36"/>
      <c r="J55" s="37" t="n">
        <f aca="true">TODAY()</f>
        <v>46241</v>
      </c>
    </row>
    <row r="56" customFormat="false" ht="15" hidden="false" customHeight="false" outlineLevel="0" collapsed="false">
      <c r="A56" s="11" t="s">
        <v>111</v>
      </c>
      <c r="B56" s="31" t="s">
        <v>112</v>
      </c>
      <c r="C56" s="32" t="n">
        <v>300</v>
      </c>
      <c r="D56" s="33" t="n">
        <v>0.005</v>
      </c>
      <c r="E56" s="13" t="n">
        <f aca="false">C56*D56</f>
        <v>1.5</v>
      </c>
      <c r="F56" s="34" t="n">
        <v>1</v>
      </c>
      <c r="G56" s="13" t="n">
        <f aca="false">E56*F56</f>
        <v>1.5</v>
      </c>
      <c r="H56" s="35" t="n">
        <f aca="false">IFERROR(G56/SUM(G51:G60),0)</f>
        <v>0.0396144196487522</v>
      </c>
      <c r="I56" s="36"/>
      <c r="J56" s="37" t="n">
        <f aca="true">TODAY()</f>
        <v>46241</v>
      </c>
    </row>
    <row r="57" customFormat="false" ht="15" hidden="false" customHeight="false" outlineLevel="0" collapsed="false">
      <c r="A57" s="11" t="s">
        <v>113</v>
      </c>
      <c r="B57" s="31" t="s">
        <v>104</v>
      </c>
      <c r="C57" s="32" t="n">
        <v>60</v>
      </c>
      <c r="D57" s="33" t="n">
        <v>0.035</v>
      </c>
      <c r="E57" s="13" t="n">
        <f aca="false">C57*D57</f>
        <v>2.1</v>
      </c>
      <c r="F57" s="34" t="n">
        <v>1</v>
      </c>
      <c r="G57" s="13" t="n">
        <f aca="false">E57*F57</f>
        <v>2.1</v>
      </c>
      <c r="H57" s="35" t="n">
        <f aca="false">IFERROR(G57/SUM(G51:G60),0)</f>
        <v>0.055460187508253</v>
      </c>
      <c r="I57" s="36"/>
      <c r="J57" s="37" t="n">
        <f aca="true">TODAY()</f>
        <v>46241</v>
      </c>
    </row>
    <row r="58" customFormat="false" ht="15" hidden="false" customHeight="false" outlineLevel="0" collapsed="false">
      <c r="A58" s="11" t="s">
        <v>135</v>
      </c>
      <c r="B58" s="31" t="s">
        <v>104</v>
      </c>
      <c r="C58" s="32" t="n">
        <v>300</v>
      </c>
      <c r="D58" s="33" t="n">
        <v>0.028</v>
      </c>
      <c r="E58" s="13" t="n">
        <f aca="false">C58*D58</f>
        <v>8.4</v>
      </c>
      <c r="F58" s="34" t="n">
        <v>1</v>
      </c>
      <c r="G58" s="13" t="n">
        <f aca="false">E58*F58</f>
        <v>8.4</v>
      </c>
      <c r="H58" s="35" t="n">
        <f aca="false">IFERROR(G58/SUM(G51:G60),0)</f>
        <v>0.221840750033012</v>
      </c>
      <c r="I58" s="36"/>
      <c r="J58" s="37" t="n">
        <f aca="true">TODAY()</f>
        <v>46241</v>
      </c>
    </row>
    <row r="59" customFormat="false" ht="15" hidden="false" customHeight="false" outlineLevel="0" collapsed="false">
      <c r="A59" s="11" t="s">
        <v>116</v>
      </c>
      <c r="B59" s="31" t="s">
        <v>104</v>
      </c>
      <c r="C59" s="32" t="n">
        <v>300</v>
      </c>
      <c r="D59" s="33" t="n">
        <v>0.032</v>
      </c>
      <c r="E59" s="13" t="n">
        <f aca="false">C59*D59</f>
        <v>9.6</v>
      </c>
      <c r="F59" s="34" t="n">
        <v>1</v>
      </c>
      <c r="G59" s="13" t="n">
        <f aca="false">E59*F59</f>
        <v>9.6</v>
      </c>
      <c r="H59" s="35" t="n">
        <f aca="false">IFERROR(G59/SUM(G51:G60),0)</f>
        <v>0.253532285752014</v>
      </c>
      <c r="I59" s="36"/>
      <c r="J59" s="37" t="n">
        <f aca="true">TODAY()</f>
        <v>46241</v>
      </c>
    </row>
    <row r="60" customFormat="false" ht="15" hidden="false" customHeight="false" outlineLevel="0" collapsed="false">
      <c r="A60" s="11" t="s">
        <v>121</v>
      </c>
      <c r="B60" s="31" t="s">
        <v>110</v>
      </c>
      <c r="C60" s="32" t="n">
        <v>20</v>
      </c>
      <c r="D60" s="33" t="n">
        <v>0.4</v>
      </c>
      <c r="E60" s="13" t="n">
        <f aca="false">C60*D60</f>
        <v>8</v>
      </c>
      <c r="F60" s="34" t="n">
        <v>1</v>
      </c>
      <c r="G60" s="13" t="n">
        <f aca="false">E60*F60</f>
        <v>8</v>
      </c>
      <c r="H60" s="35" t="n">
        <f aca="false">IFERROR(G60/SUM(G51:G60),0)</f>
        <v>0.211276904793345</v>
      </c>
      <c r="I60" s="36" t="s">
        <v>122</v>
      </c>
      <c r="J60" s="37" t="n">
        <f aca="true">TODAY()</f>
        <v>46241</v>
      </c>
    </row>
    <row r="61" customFormat="false" ht="15" hidden="false" customHeight="false" outlineLevel="0" collapsed="false">
      <c r="A61" s="38" t="s">
        <v>123</v>
      </c>
      <c r="B61" s="39"/>
      <c r="C61" s="39"/>
      <c r="D61" s="39"/>
      <c r="E61" s="39"/>
      <c r="F61" s="39"/>
      <c r="G61" s="40" t="n">
        <f aca="false">SUM(G51:G60)</f>
        <v>37.865</v>
      </c>
      <c r="H61" s="40"/>
      <c r="I61" s="40"/>
      <c r="J61" s="40"/>
    </row>
    <row r="62" customFormat="false" ht="15" hidden="false" customHeight="false" outlineLevel="0" collapsed="false">
      <c r="A62" s="41" t="s">
        <v>124</v>
      </c>
      <c r="B62" s="42"/>
      <c r="C62" s="42"/>
      <c r="D62" s="42"/>
      <c r="E62" s="42"/>
      <c r="F62" s="42"/>
      <c r="G62" s="43" t="n">
        <f aca="false">G61*(1+'Custos &amp; Ponto Equilíbrio'!$B$8)</f>
        <v>40.8942</v>
      </c>
      <c r="H62" s="43"/>
      <c r="I62" s="43"/>
      <c r="J62" s="43"/>
    </row>
    <row r="63" customFormat="false" ht="15" hidden="false" customHeight="false" outlineLevel="0" collapsed="false">
      <c r="A63" s="3" t="s">
        <v>125</v>
      </c>
      <c r="B63" s="44"/>
      <c r="C63" s="44"/>
      <c r="D63" s="44"/>
      <c r="E63" s="44"/>
      <c r="F63" s="44"/>
      <c r="G63" s="45" t="n">
        <v>20</v>
      </c>
      <c r="H63" s="45"/>
      <c r="I63" s="45"/>
      <c r="J63" s="45"/>
    </row>
    <row r="64" customFormat="false" ht="15" hidden="false" customHeight="false" outlineLevel="0" collapsed="false">
      <c r="A64" s="46" t="s">
        <v>126</v>
      </c>
      <c r="B64" s="44"/>
      <c r="C64" s="44"/>
      <c r="D64" s="44"/>
      <c r="E64" s="44"/>
      <c r="F64" s="44"/>
      <c r="G64" s="17" t="n">
        <f aca="false">G62/G63</f>
        <v>2.04471</v>
      </c>
      <c r="H64" s="17"/>
      <c r="I64" s="17"/>
      <c r="J64" s="17"/>
    </row>
    <row r="65" customFormat="false" ht="15" hidden="false" customHeight="false" outlineLevel="0" collapsed="false">
      <c r="A65" s="47" t="s">
        <v>127</v>
      </c>
      <c r="B65" s="48"/>
      <c r="C65" s="48"/>
      <c r="D65" s="48"/>
      <c r="E65" s="48"/>
      <c r="F65" s="48"/>
      <c r="G65" s="49" t="n">
        <f aca="false">G64*'Custos &amp; Ponto Equilíbrio'!$B$6</f>
        <v>5.929659</v>
      </c>
      <c r="H65" s="49"/>
      <c r="I65" s="49"/>
      <c r="J65" s="49"/>
    </row>
    <row r="66" customFormat="false" ht="15" hidden="false" customHeight="false" outlineLevel="0" collapsed="false">
      <c r="A66" s="50" t="s">
        <v>128</v>
      </c>
      <c r="B66" s="51"/>
      <c r="C66" s="51"/>
      <c r="D66" s="51"/>
      <c r="E66" s="51"/>
      <c r="F66" s="51"/>
      <c r="G66" s="52" t="n">
        <f aca="false">IFERROR(G64/G65,0)</f>
        <v>0.344827586206897</v>
      </c>
      <c r="H66" s="52"/>
      <c r="I66" s="52"/>
      <c r="J66" s="52"/>
    </row>
    <row r="67" customFormat="false" ht="15" hidden="false" customHeight="false" outlineLevel="0" collapsed="false">
      <c r="A67" s="46" t="s">
        <v>129</v>
      </c>
      <c r="B67" s="44"/>
      <c r="C67" s="44"/>
      <c r="D67" s="44"/>
      <c r="E67" s="44"/>
      <c r="F67" s="44"/>
      <c r="G67" s="18" t="n">
        <f aca="false">IFERROR(1-G66,0)</f>
        <v>0.655172413793103</v>
      </c>
      <c r="H67" s="18"/>
      <c r="I67" s="18"/>
      <c r="J67" s="18"/>
    </row>
    <row r="69" customFormat="false" ht="21.75" hidden="false" customHeight="true" outlineLevel="0" collapsed="false">
      <c r="A69" s="29" t="s">
        <v>136</v>
      </c>
      <c r="B69" s="29"/>
      <c r="C69" s="29"/>
      <c r="D69" s="29"/>
      <c r="E69" s="29"/>
      <c r="F69" s="29"/>
      <c r="G69" s="29"/>
      <c r="H69" s="29"/>
      <c r="I69" s="29"/>
      <c r="J69" s="29"/>
    </row>
    <row r="70" customFormat="false" ht="19.4" hidden="false" customHeight="false" outlineLevel="0" collapsed="false">
      <c r="A70" s="30" t="s">
        <v>93</v>
      </c>
      <c r="B70" s="30" t="s">
        <v>94</v>
      </c>
      <c r="C70" s="30" t="s">
        <v>95</v>
      </c>
      <c r="D70" s="30" t="s">
        <v>96</v>
      </c>
      <c r="E70" s="30" t="s">
        <v>97</v>
      </c>
      <c r="F70" s="30" t="s">
        <v>98</v>
      </c>
      <c r="G70" s="30" t="s">
        <v>99</v>
      </c>
      <c r="H70" s="30" t="s">
        <v>100</v>
      </c>
      <c r="I70" s="30" t="s">
        <v>101</v>
      </c>
      <c r="J70" s="30" t="s">
        <v>102</v>
      </c>
    </row>
    <row r="71" customFormat="false" ht="15" hidden="false" customHeight="false" outlineLevel="0" collapsed="false">
      <c r="A71" s="11" t="s">
        <v>103</v>
      </c>
      <c r="B71" s="31" t="s">
        <v>104</v>
      </c>
      <c r="C71" s="32" t="n">
        <v>1000</v>
      </c>
      <c r="D71" s="33" t="n">
        <v>0.0055</v>
      </c>
      <c r="E71" s="13" t="n">
        <f aca="false">C71*D71</f>
        <v>5.5</v>
      </c>
      <c r="F71" s="34" t="n">
        <v>1</v>
      </c>
      <c r="G71" s="13" t="n">
        <f aca="false">E71*F71</f>
        <v>5.5</v>
      </c>
      <c r="H71" s="35" t="n">
        <f aca="false">IFERROR(G71/SUM(G71:G81),0)</f>
        <v>0.123138923094145</v>
      </c>
      <c r="I71" s="36" t="s">
        <v>105</v>
      </c>
      <c r="J71" s="37" t="n">
        <f aca="true">TODAY()</f>
        <v>46241</v>
      </c>
    </row>
    <row r="72" customFormat="false" ht="15" hidden="false" customHeight="false" outlineLevel="0" collapsed="false">
      <c r="A72" s="11" t="s">
        <v>106</v>
      </c>
      <c r="B72" s="31" t="s">
        <v>104</v>
      </c>
      <c r="C72" s="32" t="n">
        <v>10</v>
      </c>
      <c r="D72" s="33" t="n">
        <v>0.036</v>
      </c>
      <c r="E72" s="13" t="n">
        <f aca="false">C72*D72</f>
        <v>0.36</v>
      </c>
      <c r="F72" s="34" t="n">
        <v>1</v>
      </c>
      <c r="G72" s="13" t="n">
        <f aca="false">E72*F72</f>
        <v>0.36</v>
      </c>
      <c r="H72" s="35" t="n">
        <f aca="false">IFERROR(G72/SUM(G71:G81),0)</f>
        <v>0.00806000223888951</v>
      </c>
      <c r="I72" s="36"/>
      <c r="J72" s="37" t="n">
        <f aca="true">TODAY()</f>
        <v>46241</v>
      </c>
    </row>
    <row r="73" customFormat="false" ht="15" hidden="false" customHeight="false" outlineLevel="0" collapsed="false">
      <c r="A73" s="11" t="s">
        <v>107</v>
      </c>
      <c r="B73" s="31" t="s">
        <v>104</v>
      </c>
      <c r="C73" s="32" t="n">
        <v>80</v>
      </c>
      <c r="D73" s="33" t="n">
        <v>0.0045</v>
      </c>
      <c r="E73" s="13" t="n">
        <f aca="false">C73*D73</f>
        <v>0.36</v>
      </c>
      <c r="F73" s="34" t="n">
        <v>1</v>
      </c>
      <c r="G73" s="13" t="n">
        <f aca="false">E73*F73</f>
        <v>0.36</v>
      </c>
      <c r="H73" s="35" t="n">
        <f aca="false">IFERROR(G73/SUM(G71:G81),0)</f>
        <v>0.00806000223888951</v>
      </c>
      <c r="I73" s="36"/>
      <c r="J73" s="37" t="n">
        <f aca="true">TODAY()</f>
        <v>46241</v>
      </c>
    </row>
    <row r="74" customFormat="false" ht="15" hidden="false" customHeight="false" outlineLevel="0" collapsed="false">
      <c r="A74" s="11" t="s">
        <v>108</v>
      </c>
      <c r="B74" s="31" t="s">
        <v>104</v>
      </c>
      <c r="C74" s="32" t="n">
        <v>15</v>
      </c>
      <c r="D74" s="33" t="n">
        <v>0.003</v>
      </c>
      <c r="E74" s="13" t="n">
        <f aca="false">C74*D74</f>
        <v>0.045</v>
      </c>
      <c r="F74" s="34" t="n">
        <v>1</v>
      </c>
      <c r="G74" s="13" t="n">
        <f aca="false">E74*F74</f>
        <v>0.045</v>
      </c>
      <c r="H74" s="35" t="n">
        <f aca="false">IFERROR(G74/SUM(G71:G81),0)</f>
        <v>0.00100750027986119</v>
      </c>
      <c r="I74" s="36"/>
      <c r="J74" s="37" t="n">
        <f aca="true">TODAY()</f>
        <v>46241</v>
      </c>
    </row>
    <row r="75" customFormat="false" ht="15" hidden="false" customHeight="false" outlineLevel="0" collapsed="false">
      <c r="A75" s="11" t="s">
        <v>109</v>
      </c>
      <c r="B75" s="31" t="s">
        <v>110</v>
      </c>
      <c r="C75" s="32" t="n">
        <v>2</v>
      </c>
      <c r="D75" s="33" t="n">
        <v>1</v>
      </c>
      <c r="E75" s="13" t="n">
        <f aca="false">C75*D75</f>
        <v>2</v>
      </c>
      <c r="F75" s="34" t="n">
        <v>1</v>
      </c>
      <c r="G75" s="13" t="n">
        <f aca="false">E75*F75</f>
        <v>2</v>
      </c>
      <c r="H75" s="35" t="n">
        <f aca="false">IFERROR(G75/SUM(G71:G81),0)</f>
        <v>0.0447777902160528</v>
      </c>
      <c r="I75" s="36"/>
      <c r="J75" s="37" t="n">
        <f aca="true">TODAY()</f>
        <v>46241</v>
      </c>
    </row>
    <row r="76" customFormat="false" ht="15" hidden="false" customHeight="false" outlineLevel="0" collapsed="false">
      <c r="A76" s="11" t="s">
        <v>111</v>
      </c>
      <c r="B76" s="31" t="s">
        <v>112</v>
      </c>
      <c r="C76" s="32" t="n">
        <v>300</v>
      </c>
      <c r="D76" s="33" t="n">
        <v>0.005</v>
      </c>
      <c r="E76" s="13" t="n">
        <f aca="false">C76*D76</f>
        <v>1.5</v>
      </c>
      <c r="F76" s="34" t="n">
        <v>1</v>
      </c>
      <c r="G76" s="13" t="n">
        <f aca="false">E76*F76</f>
        <v>1.5</v>
      </c>
      <c r="H76" s="35" t="n">
        <f aca="false">IFERROR(G76/SUM(G71:G81),0)</f>
        <v>0.0335833426620396</v>
      </c>
      <c r="I76" s="36"/>
      <c r="J76" s="37" t="n">
        <f aca="true">TODAY()</f>
        <v>46241</v>
      </c>
    </row>
    <row r="77" customFormat="false" ht="15" hidden="false" customHeight="false" outlineLevel="0" collapsed="false">
      <c r="A77" s="11" t="s">
        <v>113</v>
      </c>
      <c r="B77" s="31" t="s">
        <v>104</v>
      </c>
      <c r="C77" s="32" t="n">
        <v>60</v>
      </c>
      <c r="D77" s="33" t="n">
        <v>0.035</v>
      </c>
      <c r="E77" s="13" t="n">
        <f aca="false">C77*D77</f>
        <v>2.1</v>
      </c>
      <c r="F77" s="34" t="n">
        <v>1</v>
      </c>
      <c r="G77" s="13" t="n">
        <f aca="false">E77*F77</f>
        <v>2.1</v>
      </c>
      <c r="H77" s="35" t="n">
        <f aca="false">IFERROR(G77/SUM(G71:G81),0)</f>
        <v>0.0470166797268555</v>
      </c>
      <c r="I77" s="36"/>
      <c r="J77" s="37" t="n">
        <f aca="true">TODAY()</f>
        <v>46241</v>
      </c>
    </row>
    <row r="78" customFormat="false" ht="15" hidden="false" customHeight="false" outlineLevel="0" collapsed="false">
      <c r="A78" s="11" t="s">
        <v>137</v>
      </c>
      <c r="B78" s="31" t="s">
        <v>138</v>
      </c>
      <c r="C78" s="32" t="n">
        <v>2</v>
      </c>
      <c r="D78" s="33" t="n">
        <v>4</v>
      </c>
      <c r="E78" s="13" t="n">
        <f aca="false">C78*D78</f>
        <v>8</v>
      </c>
      <c r="F78" s="34" t="n">
        <v>1.15</v>
      </c>
      <c r="G78" s="13" t="n">
        <f aca="false">E78*F78</f>
        <v>9.2</v>
      </c>
      <c r="H78" s="35" t="n">
        <f aca="false">IFERROR(G78/SUM(G71:G81),0)</f>
        <v>0.205977834993843</v>
      </c>
      <c r="I78" s="36" t="s">
        <v>139</v>
      </c>
      <c r="J78" s="37" t="n">
        <f aca="true">TODAY()</f>
        <v>46241</v>
      </c>
    </row>
    <row r="79" customFormat="false" ht="15" hidden="false" customHeight="false" outlineLevel="0" collapsed="false">
      <c r="A79" s="11" t="s">
        <v>140</v>
      </c>
      <c r="B79" s="31" t="s">
        <v>104</v>
      </c>
      <c r="C79" s="32" t="n">
        <v>300</v>
      </c>
      <c r="D79" s="33" t="n">
        <v>0.032</v>
      </c>
      <c r="E79" s="13" t="n">
        <f aca="false">C79*D79</f>
        <v>9.6</v>
      </c>
      <c r="F79" s="34" t="n">
        <v>1</v>
      </c>
      <c r="G79" s="13" t="n">
        <f aca="false">E79*F79</f>
        <v>9.6</v>
      </c>
      <c r="H79" s="35" t="n">
        <f aca="false">IFERROR(G79/SUM(G71:G81),0)</f>
        <v>0.214933393037054</v>
      </c>
      <c r="I79" s="36"/>
      <c r="J79" s="37" t="n">
        <f aca="true">TODAY()</f>
        <v>46241</v>
      </c>
    </row>
    <row r="80" customFormat="false" ht="15" hidden="false" customHeight="false" outlineLevel="0" collapsed="false">
      <c r="A80" s="11" t="s">
        <v>141</v>
      </c>
      <c r="B80" s="31" t="s">
        <v>104</v>
      </c>
      <c r="C80" s="32" t="n">
        <v>100</v>
      </c>
      <c r="D80" s="33" t="n">
        <v>0.06</v>
      </c>
      <c r="E80" s="13" t="n">
        <f aca="false">C80*D80</f>
        <v>6</v>
      </c>
      <c r="F80" s="34" t="n">
        <v>1</v>
      </c>
      <c r="G80" s="13" t="n">
        <f aca="false">E80*F80</f>
        <v>6</v>
      </c>
      <c r="H80" s="35" t="n">
        <f aca="false">IFERROR(G80/SUM(G71:G81),0)</f>
        <v>0.134333370648159</v>
      </c>
      <c r="I80" s="36"/>
      <c r="J80" s="37" t="n">
        <f aca="true">TODAY()</f>
        <v>46241</v>
      </c>
    </row>
    <row r="81" customFormat="false" ht="15" hidden="false" customHeight="false" outlineLevel="0" collapsed="false">
      <c r="A81" s="11" t="s">
        <v>121</v>
      </c>
      <c r="B81" s="31" t="s">
        <v>110</v>
      </c>
      <c r="C81" s="32" t="n">
        <v>20</v>
      </c>
      <c r="D81" s="33" t="n">
        <v>0.4</v>
      </c>
      <c r="E81" s="13" t="n">
        <f aca="false">C81*D81</f>
        <v>8</v>
      </c>
      <c r="F81" s="34" t="n">
        <v>1</v>
      </c>
      <c r="G81" s="13" t="n">
        <f aca="false">E81*F81</f>
        <v>8</v>
      </c>
      <c r="H81" s="35" t="n">
        <f aca="false">IFERROR(G81/SUM(G71:G81),0)</f>
        <v>0.179111160864211</v>
      </c>
      <c r="I81" s="36" t="s">
        <v>122</v>
      </c>
      <c r="J81" s="37" t="n">
        <f aca="true">TODAY()</f>
        <v>46241</v>
      </c>
    </row>
    <row r="82" customFormat="false" ht="15" hidden="false" customHeight="false" outlineLevel="0" collapsed="false">
      <c r="A82" s="38" t="s">
        <v>123</v>
      </c>
      <c r="B82" s="39"/>
      <c r="C82" s="39"/>
      <c r="D82" s="39"/>
      <c r="E82" s="39"/>
      <c r="F82" s="39"/>
      <c r="G82" s="40" t="n">
        <f aca="false">SUM(G71:G81)</f>
        <v>44.665</v>
      </c>
      <c r="H82" s="40"/>
      <c r="I82" s="40"/>
      <c r="J82" s="40"/>
    </row>
    <row r="83" customFormat="false" ht="15" hidden="false" customHeight="false" outlineLevel="0" collapsed="false">
      <c r="A83" s="41" t="s">
        <v>124</v>
      </c>
      <c r="B83" s="42"/>
      <c r="C83" s="42"/>
      <c r="D83" s="42"/>
      <c r="E83" s="42"/>
      <c r="F83" s="42"/>
      <c r="G83" s="43" t="n">
        <f aca="false">G82*(1+'Custos &amp; Ponto Equilíbrio'!$B$8)</f>
        <v>48.2382</v>
      </c>
      <c r="H83" s="43"/>
      <c r="I83" s="43"/>
      <c r="J83" s="43"/>
    </row>
    <row r="84" customFormat="false" ht="15" hidden="false" customHeight="false" outlineLevel="0" collapsed="false">
      <c r="A84" s="3" t="s">
        <v>125</v>
      </c>
      <c r="B84" s="44"/>
      <c r="C84" s="44"/>
      <c r="D84" s="44"/>
      <c r="E84" s="44"/>
      <c r="F84" s="44"/>
      <c r="G84" s="45" t="n">
        <v>20</v>
      </c>
      <c r="H84" s="45"/>
      <c r="I84" s="45"/>
      <c r="J84" s="45"/>
    </row>
    <row r="85" customFormat="false" ht="15" hidden="false" customHeight="false" outlineLevel="0" collapsed="false">
      <c r="A85" s="46" t="s">
        <v>126</v>
      </c>
      <c r="B85" s="44"/>
      <c r="C85" s="44"/>
      <c r="D85" s="44"/>
      <c r="E85" s="44"/>
      <c r="F85" s="44"/>
      <c r="G85" s="17" t="n">
        <f aca="false">G83/G84</f>
        <v>2.41191</v>
      </c>
      <c r="H85" s="17"/>
      <c r="I85" s="17"/>
      <c r="J85" s="17"/>
    </row>
    <row r="86" customFormat="false" ht="15" hidden="false" customHeight="false" outlineLevel="0" collapsed="false">
      <c r="A86" s="47" t="s">
        <v>127</v>
      </c>
      <c r="B86" s="48"/>
      <c r="C86" s="48"/>
      <c r="D86" s="48"/>
      <c r="E86" s="48"/>
      <c r="F86" s="48"/>
      <c r="G86" s="49" t="n">
        <f aca="false">G85*'Custos &amp; Ponto Equilíbrio'!$B$6</f>
        <v>6.994539</v>
      </c>
      <c r="H86" s="49"/>
      <c r="I86" s="49"/>
      <c r="J86" s="49"/>
    </row>
    <row r="87" customFormat="false" ht="15" hidden="false" customHeight="false" outlineLevel="0" collapsed="false">
      <c r="A87" s="50" t="s">
        <v>128</v>
      </c>
      <c r="B87" s="51"/>
      <c r="C87" s="51"/>
      <c r="D87" s="51"/>
      <c r="E87" s="51"/>
      <c r="F87" s="51"/>
      <c r="G87" s="52" t="n">
        <f aca="false">IFERROR(G85/G86,0)</f>
        <v>0.344827586206897</v>
      </c>
      <c r="H87" s="52"/>
      <c r="I87" s="52"/>
      <c r="J87" s="52"/>
    </row>
    <row r="88" customFormat="false" ht="15" hidden="false" customHeight="false" outlineLevel="0" collapsed="false">
      <c r="A88" s="46" t="s">
        <v>129</v>
      </c>
      <c r="B88" s="44"/>
      <c r="C88" s="44"/>
      <c r="D88" s="44"/>
      <c r="E88" s="44"/>
      <c r="F88" s="44"/>
      <c r="G88" s="18" t="n">
        <f aca="false">IFERROR(1-G87,0)</f>
        <v>0.655172413793103</v>
      </c>
      <c r="H88" s="18"/>
      <c r="I88" s="18"/>
      <c r="J88" s="18"/>
    </row>
  </sheetData>
  <mergeCells count="63">
    <mergeCell ref="A1:J1"/>
    <mergeCell ref="A3:J3"/>
    <mergeCell ref="G4:J4"/>
    <mergeCell ref="A6:J6"/>
    <mergeCell ref="B20:F20"/>
    <mergeCell ref="G20:J20"/>
    <mergeCell ref="B21:F21"/>
    <mergeCell ref="G21:J21"/>
    <mergeCell ref="B22:F22"/>
    <mergeCell ref="G22:J22"/>
    <mergeCell ref="B23:F23"/>
    <mergeCell ref="G23:J23"/>
    <mergeCell ref="B24:F24"/>
    <mergeCell ref="G24:J24"/>
    <mergeCell ref="B25:F25"/>
    <mergeCell ref="G25:J25"/>
    <mergeCell ref="B26:F26"/>
    <mergeCell ref="G26:J26"/>
    <mergeCell ref="A28:J28"/>
    <mergeCell ref="B41:F41"/>
    <mergeCell ref="G41:J41"/>
    <mergeCell ref="B42:F42"/>
    <mergeCell ref="G42:J42"/>
    <mergeCell ref="B43:F43"/>
    <mergeCell ref="G43:J43"/>
    <mergeCell ref="B44:F44"/>
    <mergeCell ref="G44:J44"/>
    <mergeCell ref="B45:F45"/>
    <mergeCell ref="G45:J45"/>
    <mergeCell ref="B46:F46"/>
    <mergeCell ref="G46:J46"/>
    <mergeCell ref="B47:F47"/>
    <mergeCell ref="G47:J47"/>
    <mergeCell ref="A49:J49"/>
    <mergeCell ref="B61:F61"/>
    <mergeCell ref="G61:J61"/>
    <mergeCell ref="B62:F62"/>
    <mergeCell ref="G62:J62"/>
    <mergeCell ref="B63:F63"/>
    <mergeCell ref="G63:J63"/>
    <mergeCell ref="B64:F64"/>
    <mergeCell ref="G64:J64"/>
    <mergeCell ref="B65:F65"/>
    <mergeCell ref="G65:J65"/>
    <mergeCell ref="B66:F66"/>
    <mergeCell ref="G66:J66"/>
    <mergeCell ref="B67:F67"/>
    <mergeCell ref="G67:J67"/>
    <mergeCell ref="A69:J69"/>
    <mergeCell ref="B82:F82"/>
    <mergeCell ref="G82:J82"/>
    <mergeCell ref="B83:F83"/>
    <mergeCell ref="G83:J83"/>
    <mergeCell ref="B84:F84"/>
    <mergeCell ref="G84:J84"/>
    <mergeCell ref="B85:F85"/>
    <mergeCell ref="G85:J85"/>
    <mergeCell ref="B86:F86"/>
    <mergeCell ref="G86:J86"/>
    <mergeCell ref="B87:F87"/>
    <mergeCell ref="G87:J87"/>
    <mergeCell ref="B88:F88"/>
    <mergeCell ref="G88:J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"/>
    <col collapsed="false" customWidth="true" hidden="false" outlineLevel="0" max="5" min="3" style="0" width="1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13"/>
  </cols>
  <sheetData>
    <row r="1" customFormat="false" ht="37.5" hidden="false" customHeight="true" outlineLevel="0" collapsed="false">
      <c r="A1" s="1" t="s">
        <v>142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8" hidden="false" customHeight="true" outlineLevel="0" collapsed="false">
      <c r="A3" s="2" t="s">
        <v>87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5" hidden="false" customHeight="false" outlineLevel="0" collapsed="false">
      <c r="A4" s="3" t="s">
        <v>143</v>
      </c>
      <c r="B4" s="27" t="n">
        <f aca="false">'Custos &amp; Ponto Equilíbrio'!B7</f>
        <v>3</v>
      </c>
      <c r="C4" s="3" t="s">
        <v>89</v>
      </c>
      <c r="D4" s="28" t="n">
        <f aca="false">'Custos &amp; Ponto Equilíbrio'!B8</f>
        <v>0.08</v>
      </c>
      <c r="E4" s="3" t="s">
        <v>90</v>
      </c>
      <c r="F4" s="28" t="n">
        <f aca="false">'Custos &amp; Ponto Equilíbrio'!B4</f>
        <v>0.35</v>
      </c>
      <c r="G4" s="5" t="s">
        <v>91</v>
      </c>
      <c r="H4" s="5"/>
      <c r="I4" s="5"/>
      <c r="J4" s="5"/>
    </row>
    <row r="6" customFormat="false" ht="21.75" hidden="false" customHeight="true" outlineLevel="0" collapsed="false">
      <c r="A6" s="29" t="s">
        <v>144</v>
      </c>
      <c r="B6" s="29"/>
      <c r="C6" s="29"/>
      <c r="D6" s="29"/>
      <c r="E6" s="29"/>
      <c r="F6" s="29"/>
      <c r="G6" s="29"/>
      <c r="H6" s="29"/>
      <c r="I6" s="29"/>
      <c r="J6" s="29"/>
    </row>
    <row r="7" customFormat="false" ht="19.4" hidden="false" customHeight="false" outlineLevel="0" collapsed="false">
      <c r="A7" s="30" t="s">
        <v>93</v>
      </c>
      <c r="B7" s="30" t="s">
        <v>94</v>
      </c>
      <c r="C7" s="30" t="s">
        <v>95</v>
      </c>
      <c r="D7" s="30" t="s">
        <v>96</v>
      </c>
      <c r="E7" s="30" t="s">
        <v>97</v>
      </c>
      <c r="F7" s="30" t="s">
        <v>98</v>
      </c>
      <c r="G7" s="30" t="s">
        <v>99</v>
      </c>
      <c r="H7" s="30" t="s">
        <v>100</v>
      </c>
      <c r="I7" s="30" t="s">
        <v>101</v>
      </c>
      <c r="J7" s="30" t="s">
        <v>102</v>
      </c>
    </row>
    <row r="8" customFormat="false" ht="15" hidden="false" customHeight="false" outlineLevel="0" collapsed="false">
      <c r="A8" s="11" t="s">
        <v>145</v>
      </c>
      <c r="B8" s="31" t="s">
        <v>104</v>
      </c>
      <c r="C8" s="32" t="n">
        <v>300</v>
      </c>
      <c r="D8" s="33" t="n">
        <v>0.04</v>
      </c>
      <c r="E8" s="13" t="n">
        <f aca="false">C8*D8</f>
        <v>12</v>
      </c>
      <c r="F8" s="34" t="n">
        <v>1</v>
      </c>
      <c r="G8" s="13" t="n">
        <f aca="false">E8*F8</f>
        <v>12</v>
      </c>
      <c r="H8" s="35" t="n">
        <f aca="false">IFERROR(G8/SUM(G8:G12),0)</f>
        <v>0.384615384615385</v>
      </c>
      <c r="I8" s="36"/>
      <c r="J8" s="37" t="n">
        <f aca="true">TODAY()</f>
        <v>46241</v>
      </c>
    </row>
    <row r="9" customFormat="false" ht="15" hidden="false" customHeight="false" outlineLevel="0" collapsed="false">
      <c r="A9" s="11" t="s">
        <v>146</v>
      </c>
      <c r="B9" s="31" t="s">
        <v>147</v>
      </c>
      <c r="C9" s="32" t="n">
        <v>2</v>
      </c>
      <c r="D9" s="33" t="n">
        <v>4</v>
      </c>
      <c r="E9" s="13" t="n">
        <f aca="false">C9*D9</f>
        <v>8</v>
      </c>
      <c r="F9" s="34" t="n">
        <v>1</v>
      </c>
      <c r="G9" s="13" t="n">
        <f aca="false">E9*F9</f>
        <v>8</v>
      </c>
      <c r="H9" s="35" t="n">
        <f aca="false">IFERROR(G9/SUM(G8:G12),0)</f>
        <v>0.256410256410256</v>
      </c>
      <c r="I9" s="36"/>
      <c r="J9" s="37" t="n">
        <f aca="true">TODAY()</f>
        <v>46241</v>
      </c>
    </row>
    <row r="10" customFormat="false" ht="15" hidden="false" customHeight="false" outlineLevel="0" collapsed="false">
      <c r="A10" s="11" t="s">
        <v>148</v>
      </c>
      <c r="B10" s="31" t="s">
        <v>149</v>
      </c>
      <c r="C10" s="32" t="n">
        <v>1</v>
      </c>
      <c r="D10" s="33" t="n">
        <v>7</v>
      </c>
      <c r="E10" s="13" t="n">
        <f aca="false">C10*D10</f>
        <v>7</v>
      </c>
      <c r="F10" s="34" t="n">
        <v>1</v>
      </c>
      <c r="G10" s="13" t="n">
        <f aca="false">E10*F10</f>
        <v>7</v>
      </c>
      <c r="H10" s="35" t="n">
        <f aca="false">IFERROR(G10/SUM(G8:G12),0)</f>
        <v>0.224358974358974</v>
      </c>
      <c r="I10" s="36"/>
      <c r="J10" s="37" t="n">
        <f aca="true">TODAY()</f>
        <v>46241</v>
      </c>
    </row>
    <row r="11" customFormat="false" ht="15" hidden="false" customHeight="false" outlineLevel="0" collapsed="false">
      <c r="A11" s="11" t="s">
        <v>150</v>
      </c>
      <c r="B11" s="31" t="s">
        <v>110</v>
      </c>
      <c r="C11" s="32" t="n">
        <v>3</v>
      </c>
      <c r="D11" s="33" t="n">
        <v>1</v>
      </c>
      <c r="E11" s="13" t="n">
        <f aca="false">C11*D11</f>
        <v>3</v>
      </c>
      <c r="F11" s="34" t="n">
        <v>1</v>
      </c>
      <c r="G11" s="13" t="n">
        <f aca="false">E11*F11</f>
        <v>3</v>
      </c>
      <c r="H11" s="35" t="n">
        <f aca="false">IFERROR(G11/SUM(G8:G12),0)</f>
        <v>0.0961538461538462</v>
      </c>
      <c r="I11" s="36"/>
      <c r="J11" s="37" t="n">
        <f aca="true">TODAY()</f>
        <v>46241</v>
      </c>
    </row>
    <row r="12" customFormat="false" ht="15" hidden="false" customHeight="false" outlineLevel="0" collapsed="false">
      <c r="A12" s="11" t="s">
        <v>151</v>
      </c>
      <c r="B12" s="31" t="s">
        <v>110</v>
      </c>
      <c r="C12" s="32" t="n">
        <v>10</v>
      </c>
      <c r="D12" s="33" t="n">
        <v>0.12</v>
      </c>
      <c r="E12" s="13" t="n">
        <f aca="false">C12*D12</f>
        <v>1.2</v>
      </c>
      <c r="F12" s="34" t="n">
        <v>1</v>
      </c>
      <c r="G12" s="13" t="n">
        <f aca="false">E12*F12</f>
        <v>1.2</v>
      </c>
      <c r="H12" s="35" t="n">
        <f aca="false">IFERROR(G12/SUM(G8:G12),0)</f>
        <v>0.0384615384615385</v>
      </c>
      <c r="I12" s="36" t="s">
        <v>152</v>
      </c>
      <c r="J12" s="37" t="n">
        <f aca="true">TODAY()</f>
        <v>46241</v>
      </c>
    </row>
    <row r="13" customFormat="false" ht="15" hidden="false" customHeight="false" outlineLevel="0" collapsed="false">
      <c r="A13" s="38" t="s">
        <v>123</v>
      </c>
      <c r="B13" s="39"/>
      <c r="C13" s="39"/>
      <c r="D13" s="39"/>
      <c r="E13" s="39"/>
      <c r="F13" s="39"/>
      <c r="G13" s="40" t="n">
        <f aca="false">SUM(G8:G12)</f>
        <v>31.2</v>
      </c>
      <c r="H13" s="40"/>
      <c r="I13" s="40"/>
      <c r="J13" s="40"/>
    </row>
    <row r="14" customFormat="false" ht="15" hidden="false" customHeight="false" outlineLevel="0" collapsed="false">
      <c r="A14" s="41" t="s">
        <v>124</v>
      </c>
      <c r="B14" s="42"/>
      <c r="C14" s="42"/>
      <c r="D14" s="42"/>
      <c r="E14" s="42"/>
      <c r="F14" s="42"/>
      <c r="G14" s="43" t="n">
        <f aca="false">G13*(1+'Custos &amp; Ponto Equilíbrio'!$B$8)</f>
        <v>33.696</v>
      </c>
      <c r="H14" s="43"/>
      <c r="I14" s="43"/>
      <c r="J14" s="43"/>
    </row>
    <row r="15" customFormat="false" ht="15" hidden="false" customHeight="false" outlineLevel="0" collapsed="false">
      <c r="A15" s="3" t="s">
        <v>125</v>
      </c>
      <c r="B15" s="44"/>
      <c r="C15" s="44"/>
      <c r="D15" s="44"/>
      <c r="E15" s="44"/>
      <c r="F15" s="44"/>
      <c r="G15" s="45" t="n">
        <v>10</v>
      </c>
      <c r="H15" s="45"/>
      <c r="I15" s="45"/>
      <c r="J15" s="45"/>
    </row>
    <row r="16" customFormat="false" ht="15" hidden="false" customHeight="false" outlineLevel="0" collapsed="false">
      <c r="A16" s="46" t="s">
        <v>126</v>
      </c>
      <c r="B16" s="44"/>
      <c r="C16" s="44"/>
      <c r="D16" s="44"/>
      <c r="E16" s="44"/>
      <c r="F16" s="44"/>
      <c r="G16" s="17" t="n">
        <f aca="false">G14/G15</f>
        <v>3.3696</v>
      </c>
      <c r="H16" s="17"/>
      <c r="I16" s="17"/>
      <c r="J16" s="17"/>
    </row>
    <row r="17" customFormat="false" ht="15" hidden="false" customHeight="false" outlineLevel="0" collapsed="false">
      <c r="A17" s="47" t="s">
        <v>127</v>
      </c>
      <c r="B17" s="48"/>
      <c r="C17" s="48"/>
      <c r="D17" s="48"/>
      <c r="E17" s="48"/>
      <c r="F17" s="48"/>
      <c r="G17" s="49" t="n">
        <f aca="false">G16*'Custos &amp; Ponto Equilíbrio'!$B$7</f>
        <v>10.1088</v>
      </c>
      <c r="H17" s="49"/>
      <c r="I17" s="49"/>
      <c r="J17" s="49"/>
    </row>
    <row r="18" customFormat="false" ht="15" hidden="false" customHeight="false" outlineLevel="0" collapsed="false">
      <c r="A18" s="50" t="s">
        <v>128</v>
      </c>
      <c r="B18" s="51"/>
      <c r="C18" s="51"/>
      <c r="D18" s="51"/>
      <c r="E18" s="51"/>
      <c r="F18" s="51"/>
      <c r="G18" s="52" t="n">
        <f aca="false">IFERROR(G16/G17,0)</f>
        <v>0.333333333333333</v>
      </c>
      <c r="H18" s="52"/>
      <c r="I18" s="52"/>
      <c r="J18" s="52"/>
    </row>
    <row r="19" customFormat="false" ht="15" hidden="false" customHeight="false" outlineLevel="0" collapsed="false">
      <c r="A19" s="46" t="s">
        <v>129</v>
      </c>
      <c r="B19" s="44"/>
      <c r="C19" s="44"/>
      <c r="D19" s="44"/>
      <c r="E19" s="44"/>
      <c r="F19" s="44"/>
      <c r="G19" s="18" t="n">
        <f aca="false">IFERROR(1-G18,0)</f>
        <v>0.666666666666667</v>
      </c>
      <c r="H19" s="18"/>
      <c r="I19" s="18"/>
      <c r="J19" s="18"/>
    </row>
    <row r="21" customFormat="false" ht="21.75" hidden="false" customHeight="true" outlineLevel="0" collapsed="false">
      <c r="A21" s="29" t="s">
        <v>153</v>
      </c>
      <c r="B21" s="29"/>
      <c r="C21" s="29"/>
      <c r="D21" s="29"/>
      <c r="E21" s="29"/>
      <c r="F21" s="29"/>
      <c r="G21" s="29"/>
      <c r="H21" s="29"/>
      <c r="I21" s="29"/>
      <c r="J21" s="29"/>
    </row>
    <row r="22" customFormat="false" ht="19.4" hidden="false" customHeight="false" outlineLevel="0" collapsed="false">
      <c r="A22" s="30" t="s">
        <v>93</v>
      </c>
      <c r="B22" s="30" t="s">
        <v>94</v>
      </c>
      <c r="C22" s="30" t="s">
        <v>95</v>
      </c>
      <c r="D22" s="30" t="s">
        <v>96</v>
      </c>
      <c r="E22" s="30" t="s">
        <v>97</v>
      </c>
      <c r="F22" s="30" t="s">
        <v>98</v>
      </c>
      <c r="G22" s="30" t="s">
        <v>99</v>
      </c>
      <c r="H22" s="30" t="s">
        <v>100</v>
      </c>
      <c r="I22" s="30" t="s">
        <v>101</v>
      </c>
      <c r="J22" s="30" t="s">
        <v>102</v>
      </c>
    </row>
    <row r="23" customFormat="false" ht="15" hidden="false" customHeight="false" outlineLevel="0" collapsed="false">
      <c r="A23" s="11" t="s">
        <v>154</v>
      </c>
      <c r="B23" s="31" t="s">
        <v>112</v>
      </c>
      <c r="C23" s="32" t="n">
        <v>200</v>
      </c>
      <c r="D23" s="33" t="n">
        <v>0.03</v>
      </c>
      <c r="E23" s="13" t="n">
        <f aca="false">C23*D23</f>
        <v>6</v>
      </c>
      <c r="F23" s="34" t="n">
        <v>1</v>
      </c>
      <c r="G23" s="13" t="n">
        <f aca="false">E23*F23</f>
        <v>6</v>
      </c>
      <c r="H23" s="35" t="n">
        <f aca="false">IFERROR(G23/SUM(G23:G27),0)</f>
        <v>0.247933884297521</v>
      </c>
      <c r="I23" s="36"/>
      <c r="J23" s="37" t="n">
        <f aca="true">TODAY()</f>
        <v>46241</v>
      </c>
    </row>
    <row r="24" customFormat="false" ht="15" hidden="false" customHeight="false" outlineLevel="0" collapsed="false">
      <c r="A24" s="11" t="s">
        <v>148</v>
      </c>
      <c r="B24" s="31" t="s">
        <v>149</v>
      </c>
      <c r="C24" s="32" t="n">
        <v>1</v>
      </c>
      <c r="D24" s="33" t="n">
        <v>7</v>
      </c>
      <c r="E24" s="13" t="n">
        <f aca="false">C24*D24</f>
        <v>7</v>
      </c>
      <c r="F24" s="34" t="n">
        <v>1</v>
      </c>
      <c r="G24" s="13" t="n">
        <f aca="false">E24*F24</f>
        <v>7</v>
      </c>
      <c r="H24" s="35" t="n">
        <f aca="false">IFERROR(G24/SUM(G23:G27),0)</f>
        <v>0.289256198347108</v>
      </c>
      <c r="I24" s="36"/>
      <c r="J24" s="37" t="n">
        <f aca="true">TODAY()</f>
        <v>46241</v>
      </c>
    </row>
    <row r="25" customFormat="false" ht="15" hidden="false" customHeight="false" outlineLevel="0" collapsed="false">
      <c r="A25" s="11" t="s">
        <v>146</v>
      </c>
      <c r="B25" s="31" t="s">
        <v>147</v>
      </c>
      <c r="C25" s="32" t="n">
        <v>2</v>
      </c>
      <c r="D25" s="33" t="n">
        <v>4</v>
      </c>
      <c r="E25" s="13" t="n">
        <f aca="false">C25*D25</f>
        <v>8</v>
      </c>
      <c r="F25" s="34" t="n">
        <v>1</v>
      </c>
      <c r="G25" s="13" t="n">
        <f aca="false">E25*F25</f>
        <v>8</v>
      </c>
      <c r="H25" s="35" t="n">
        <f aca="false">IFERROR(G25/SUM(G23:G27),0)</f>
        <v>0.330578512396694</v>
      </c>
      <c r="I25" s="36"/>
      <c r="J25" s="37" t="n">
        <f aca="true">TODAY()</f>
        <v>46241</v>
      </c>
    </row>
    <row r="26" customFormat="false" ht="15" hidden="false" customHeight="false" outlineLevel="0" collapsed="false">
      <c r="A26" s="11" t="s">
        <v>155</v>
      </c>
      <c r="B26" s="31" t="s">
        <v>156</v>
      </c>
      <c r="C26" s="32" t="n">
        <v>1</v>
      </c>
      <c r="D26" s="33" t="n">
        <v>2</v>
      </c>
      <c r="E26" s="13" t="n">
        <f aca="false">C26*D26</f>
        <v>2</v>
      </c>
      <c r="F26" s="34" t="n">
        <v>1</v>
      </c>
      <c r="G26" s="13" t="n">
        <f aca="false">E26*F26</f>
        <v>2</v>
      </c>
      <c r="H26" s="35" t="n">
        <f aca="false">IFERROR(G26/SUM(G23:G27),0)</f>
        <v>0.0826446280991736</v>
      </c>
      <c r="I26" s="36"/>
      <c r="J26" s="37" t="n">
        <f aca="true">TODAY()</f>
        <v>46241</v>
      </c>
    </row>
    <row r="27" customFormat="false" ht="15" hidden="false" customHeight="false" outlineLevel="0" collapsed="false">
      <c r="A27" s="11" t="s">
        <v>151</v>
      </c>
      <c r="B27" s="31" t="s">
        <v>110</v>
      </c>
      <c r="C27" s="32" t="n">
        <v>10</v>
      </c>
      <c r="D27" s="33" t="n">
        <v>0.12</v>
      </c>
      <c r="E27" s="13" t="n">
        <f aca="false">C27*D27</f>
        <v>1.2</v>
      </c>
      <c r="F27" s="34" t="n">
        <v>1</v>
      </c>
      <c r="G27" s="13" t="n">
        <f aca="false">E27*F27</f>
        <v>1.2</v>
      </c>
      <c r="H27" s="35" t="n">
        <f aca="false">IFERROR(G27/SUM(G23:G27),0)</f>
        <v>0.0495867768595041</v>
      </c>
      <c r="I27" s="36" t="s">
        <v>152</v>
      </c>
      <c r="J27" s="37" t="n">
        <f aca="true">TODAY()</f>
        <v>46241</v>
      </c>
    </row>
    <row r="28" customFormat="false" ht="15" hidden="false" customHeight="false" outlineLevel="0" collapsed="false">
      <c r="A28" s="38" t="s">
        <v>123</v>
      </c>
      <c r="B28" s="39"/>
      <c r="C28" s="39"/>
      <c r="D28" s="39"/>
      <c r="E28" s="39"/>
      <c r="F28" s="39"/>
      <c r="G28" s="40" t="n">
        <f aca="false">SUM(G23:G27)</f>
        <v>24.2</v>
      </c>
      <c r="H28" s="40"/>
      <c r="I28" s="40"/>
      <c r="J28" s="40"/>
    </row>
    <row r="29" customFormat="false" ht="15" hidden="false" customHeight="false" outlineLevel="0" collapsed="false">
      <c r="A29" s="41" t="s">
        <v>124</v>
      </c>
      <c r="B29" s="42"/>
      <c r="C29" s="42"/>
      <c r="D29" s="42"/>
      <c r="E29" s="42"/>
      <c r="F29" s="42"/>
      <c r="G29" s="43" t="n">
        <f aca="false">G28*(1+'Custos &amp; Ponto Equilíbrio'!$B$8)</f>
        <v>26.136</v>
      </c>
      <c r="H29" s="43"/>
      <c r="I29" s="43"/>
      <c r="J29" s="43"/>
    </row>
    <row r="30" customFormat="false" ht="15" hidden="false" customHeight="false" outlineLevel="0" collapsed="false">
      <c r="A30" s="3" t="s">
        <v>125</v>
      </c>
      <c r="B30" s="44"/>
      <c r="C30" s="44"/>
      <c r="D30" s="44"/>
      <c r="E30" s="44"/>
      <c r="F30" s="44"/>
      <c r="G30" s="45" t="n">
        <v>10</v>
      </c>
      <c r="H30" s="45"/>
      <c r="I30" s="45"/>
      <c r="J30" s="45"/>
    </row>
    <row r="31" customFormat="false" ht="15" hidden="false" customHeight="false" outlineLevel="0" collapsed="false">
      <c r="A31" s="46" t="s">
        <v>126</v>
      </c>
      <c r="B31" s="44"/>
      <c r="C31" s="44"/>
      <c r="D31" s="44"/>
      <c r="E31" s="44"/>
      <c r="F31" s="44"/>
      <c r="G31" s="17" t="n">
        <f aca="false">G29/G30</f>
        <v>2.6136</v>
      </c>
      <c r="H31" s="17"/>
      <c r="I31" s="17"/>
      <c r="J31" s="17"/>
    </row>
    <row r="32" customFormat="false" ht="15" hidden="false" customHeight="false" outlineLevel="0" collapsed="false">
      <c r="A32" s="47" t="s">
        <v>127</v>
      </c>
      <c r="B32" s="48"/>
      <c r="C32" s="48"/>
      <c r="D32" s="48"/>
      <c r="E32" s="48"/>
      <c r="F32" s="48"/>
      <c r="G32" s="49" t="n">
        <f aca="false">G31*'Custos &amp; Ponto Equilíbrio'!$B$7</f>
        <v>7.8408</v>
      </c>
      <c r="H32" s="49"/>
      <c r="I32" s="49"/>
      <c r="J32" s="49"/>
    </row>
    <row r="33" customFormat="false" ht="15" hidden="false" customHeight="false" outlineLevel="0" collapsed="false">
      <c r="A33" s="50" t="s">
        <v>128</v>
      </c>
      <c r="B33" s="51"/>
      <c r="C33" s="51"/>
      <c r="D33" s="51"/>
      <c r="E33" s="51"/>
      <c r="F33" s="51"/>
      <c r="G33" s="52" t="n">
        <f aca="false">IFERROR(G31/G32,0)</f>
        <v>0.333333333333333</v>
      </c>
      <c r="H33" s="52"/>
      <c r="I33" s="52"/>
      <c r="J33" s="52"/>
    </row>
    <row r="34" customFormat="false" ht="15" hidden="false" customHeight="false" outlineLevel="0" collapsed="false">
      <c r="A34" s="46" t="s">
        <v>129</v>
      </c>
      <c r="B34" s="44"/>
      <c r="C34" s="44"/>
      <c r="D34" s="44"/>
      <c r="E34" s="44"/>
      <c r="F34" s="44"/>
      <c r="G34" s="18" t="n">
        <f aca="false">IFERROR(1-G33,0)</f>
        <v>0.666666666666667</v>
      </c>
      <c r="H34" s="18"/>
      <c r="I34" s="18"/>
      <c r="J34" s="18"/>
    </row>
    <row r="36" customFormat="false" ht="21.75" hidden="false" customHeight="true" outlineLevel="0" collapsed="false">
      <c r="A36" s="29" t="s">
        <v>157</v>
      </c>
      <c r="B36" s="29"/>
      <c r="C36" s="29"/>
      <c r="D36" s="29"/>
      <c r="E36" s="29"/>
      <c r="F36" s="29"/>
      <c r="G36" s="29"/>
      <c r="H36" s="29"/>
      <c r="I36" s="29"/>
      <c r="J36" s="29"/>
    </row>
    <row r="37" customFormat="false" ht="19.4" hidden="false" customHeight="false" outlineLevel="0" collapsed="false">
      <c r="A37" s="30" t="s">
        <v>93</v>
      </c>
      <c r="B37" s="30" t="s">
        <v>94</v>
      </c>
      <c r="C37" s="30" t="s">
        <v>95</v>
      </c>
      <c r="D37" s="30" t="s">
        <v>96</v>
      </c>
      <c r="E37" s="30" t="s">
        <v>97</v>
      </c>
      <c r="F37" s="30" t="s">
        <v>98</v>
      </c>
      <c r="G37" s="30" t="s">
        <v>99</v>
      </c>
      <c r="H37" s="30" t="s">
        <v>100</v>
      </c>
      <c r="I37" s="30" t="s">
        <v>101</v>
      </c>
      <c r="J37" s="30" t="s">
        <v>102</v>
      </c>
    </row>
    <row r="38" customFormat="false" ht="15" hidden="false" customHeight="false" outlineLevel="0" collapsed="false">
      <c r="A38" s="11" t="s">
        <v>158</v>
      </c>
      <c r="B38" s="31" t="s">
        <v>112</v>
      </c>
      <c r="C38" s="32" t="n">
        <v>150</v>
      </c>
      <c r="D38" s="33" t="n">
        <v>0.02</v>
      </c>
      <c r="E38" s="13" t="n">
        <f aca="false">C38*D38</f>
        <v>3</v>
      </c>
      <c r="F38" s="34" t="n">
        <v>1.15</v>
      </c>
      <c r="G38" s="13" t="n">
        <f aca="false">E38*F38</f>
        <v>3.45</v>
      </c>
      <c r="H38" s="35" t="n">
        <f aca="false">IFERROR(G38/SUM(G38:G42),0)</f>
        <v>0.159353348729792</v>
      </c>
      <c r="I38" s="36" t="s">
        <v>159</v>
      </c>
      <c r="J38" s="37" t="n">
        <f aca="true">TODAY()</f>
        <v>46241</v>
      </c>
    </row>
    <row r="39" customFormat="false" ht="15" hidden="false" customHeight="false" outlineLevel="0" collapsed="false">
      <c r="A39" s="11" t="s">
        <v>148</v>
      </c>
      <c r="B39" s="31" t="s">
        <v>149</v>
      </c>
      <c r="C39" s="32" t="n">
        <v>1</v>
      </c>
      <c r="D39" s="33" t="n">
        <v>7</v>
      </c>
      <c r="E39" s="13" t="n">
        <f aca="false">C39*D39</f>
        <v>7</v>
      </c>
      <c r="F39" s="34" t="n">
        <v>1</v>
      </c>
      <c r="G39" s="13" t="n">
        <f aca="false">E39*F39</f>
        <v>7</v>
      </c>
      <c r="H39" s="35" t="n">
        <f aca="false">IFERROR(G39/SUM(G38:G42),0)</f>
        <v>0.323325635103926</v>
      </c>
      <c r="I39" s="36"/>
      <c r="J39" s="37" t="n">
        <f aca="true">TODAY()</f>
        <v>46241</v>
      </c>
    </row>
    <row r="40" customFormat="false" ht="15" hidden="false" customHeight="false" outlineLevel="0" collapsed="false">
      <c r="A40" s="11" t="s">
        <v>146</v>
      </c>
      <c r="B40" s="31" t="s">
        <v>147</v>
      </c>
      <c r="C40" s="32" t="n">
        <v>2</v>
      </c>
      <c r="D40" s="33" t="n">
        <v>4</v>
      </c>
      <c r="E40" s="13" t="n">
        <f aca="false">C40*D40</f>
        <v>8</v>
      </c>
      <c r="F40" s="34" t="n">
        <v>1</v>
      </c>
      <c r="G40" s="13" t="n">
        <f aca="false">E40*F40</f>
        <v>8</v>
      </c>
      <c r="H40" s="35" t="n">
        <f aca="false">IFERROR(G40/SUM(G38:G42),0)</f>
        <v>0.369515011547344</v>
      </c>
      <c r="I40" s="36"/>
      <c r="J40" s="37" t="n">
        <f aca="true">TODAY()</f>
        <v>46241</v>
      </c>
    </row>
    <row r="41" customFormat="false" ht="15" hidden="false" customHeight="false" outlineLevel="0" collapsed="false">
      <c r="A41" s="11" t="s">
        <v>155</v>
      </c>
      <c r="B41" s="31" t="s">
        <v>156</v>
      </c>
      <c r="C41" s="32" t="n">
        <v>1</v>
      </c>
      <c r="D41" s="33" t="n">
        <v>2</v>
      </c>
      <c r="E41" s="13" t="n">
        <f aca="false">C41*D41</f>
        <v>2</v>
      </c>
      <c r="F41" s="34" t="n">
        <v>1</v>
      </c>
      <c r="G41" s="13" t="n">
        <f aca="false">E41*F41</f>
        <v>2</v>
      </c>
      <c r="H41" s="35" t="n">
        <f aca="false">IFERROR(G41/SUM(G38:G42),0)</f>
        <v>0.092378752886836</v>
      </c>
      <c r="I41" s="36"/>
      <c r="J41" s="37" t="n">
        <f aca="true">TODAY()</f>
        <v>46241</v>
      </c>
    </row>
    <row r="42" customFormat="false" ht="15" hidden="false" customHeight="false" outlineLevel="0" collapsed="false">
      <c r="A42" s="11" t="s">
        <v>151</v>
      </c>
      <c r="B42" s="31" t="s">
        <v>110</v>
      </c>
      <c r="C42" s="32" t="n">
        <v>10</v>
      </c>
      <c r="D42" s="33" t="n">
        <v>0.12</v>
      </c>
      <c r="E42" s="13" t="n">
        <f aca="false">C42*D42</f>
        <v>1.2</v>
      </c>
      <c r="F42" s="34" t="n">
        <v>1</v>
      </c>
      <c r="G42" s="13" t="n">
        <f aca="false">E42*F42</f>
        <v>1.2</v>
      </c>
      <c r="H42" s="35" t="n">
        <f aca="false">IFERROR(G42/SUM(G38:G42),0)</f>
        <v>0.0554272517321016</v>
      </c>
      <c r="I42" s="36" t="s">
        <v>152</v>
      </c>
      <c r="J42" s="37" t="n">
        <f aca="true">TODAY()</f>
        <v>46241</v>
      </c>
    </row>
    <row r="43" customFormat="false" ht="15" hidden="false" customHeight="false" outlineLevel="0" collapsed="false">
      <c r="A43" s="38" t="s">
        <v>123</v>
      </c>
      <c r="B43" s="39"/>
      <c r="C43" s="39"/>
      <c r="D43" s="39"/>
      <c r="E43" s="39"/>
      <c r="F43" s="39"/>
      <c r="G43" s="40" t="n">
        <f aca="false">SUM(G38:G42)</f>
        <v>21.65</v>
      </c>
      <c r="H43" s="40"/>
      <c r="I43" s="40"/>
      <c r="J43" s="40"/>
    </row>
    <row r="44" customFormat="false" ht="15" hidden="false" customHeight="false" outlineLevel="0" collapsed="false">
      <c r="A44" s="41" t="s">
        <v>124</v>
      </c>
      <c r="B44" s="42"/>
      <c r="C44" s="42"/>
      <c r="D44" s="42"/>
      <c r="E44" s="42"/>
      <c r="F44" s="42"/>
      <c r="G44" s="43" t="n">
        <f aca="false">G43*(1+'Custos &amp; Ponto Equilíbrio'!$B$8)</f>
        <v>23.382</v>
      </c>
      <c r="H44" s="43"/>
      <c r="I44" s="43"/>
      <c r="J44" s="43"/>
    </row>
    <row r="45" customFormat="false" ht="15" hidden="false" customHeight="false" outlineLevel="0" collapsed="false">
      <c r="A45" s="3" t="s">
        <v>125</v>
      </c>
      <c r="B45" s="44"/>
      <c r="C45" s="44"/>
      <c r="D45" s="44"/>
      <c r="E45" s="44"/>
      <c r="F45" s="44"/>
      <c r="G45" s="45" t="n">
        <v>10</v>
      </c>
      <c r="H45" s="45"/>
      <c r="I45" s="45"/>
      <c r="J45" s="45"/>
    </row>
    <row r="46" customFormat="false" ht="15" hidden="false" customHeight="false" outlineLevel="0" collapsed="false">
      <c r="A46" s="46" t="s">
        <v>126</v>
      </c>
      <c r="B46" s="44"/>
      <c r="C46" s="44"/>
      <c r="D46" s="44"/>
      <c r="E46" s="44"/>
      <c r="F46" s="44"/>
      <c r="G46" s="17" t="n">
        <f aca="false">G44/G45</f>
        <v>2.3382</v>
      </c>
      <c r="H46" s="17"/>
      <c r="I46" s="17"/>
      <c r="J46" s="17"/>
    </row>
    <row r="47" customFormat="false" ht="15" hidden="false" customHeight="false" outlineLevel="0" collapsed="false">
      <c r="A47" s="47" t="s">
        <v>127</v>
      </c>
      <c r="B47" s="48"/>
      <c r="C47" s="48"/>
      <c r="D47" s="48"/>
      <c r="E47" s="48"/>
      <c r="F47" s="48"/>
      <c r="G47" s="49" t="n">
        <f aca="false">G46*'Custos &amp; Ponto Equilíbrio'!$B$7</f>
        <v>7.0146</v>
      </c>
      <c r="H47" s="49"/>
      <c r="I47" s="49"/>
      <c r="J47" s="49"/>
    </row>
    <row r="48" customFormat="false" ht="15" hidden="false" customHeight="false" outlineLevel="0" collapsed="false">
      <c r="A48" s="50" t="s">
        <v>128</v>
      </c>
      <c r="B48" s="51"/>
      <c r="C48" s="51"/>
      <c r="D48" s="51"/>
      <c r="E48" s="51"/>
      <c r="F48" s="51"/>
      <c r="G48" s="52" t="n">
        <f aca="false">IFERROR(G46/G47,0)</f>
        <v>0.333333333333333</v>
      </c>
      <c r="H48" s="52"/>
      <c r="I48" s="52"/>
      <c r="J48" s="52"/>
    </row>
    <row r="49" customFormat="false" ht="15" hidden="false" customHeight="false" outlineLevel="0" collapsed="false">
      <c r="A49" s="46" t="s">
        <v>129</v>
      </c>
      <c r="B49" s="44"/>
      <c r="C49" s="44"/>
      <c r="D49" s="44"/>
      <c r="E49" s="44"/>
      <c r="F49" s="44"/>
      <c r="G49" s="18" t="n">
        <f aca="false">IFERROR(1-G48,0)</f>
        <v>0.666666666666667</v>
      </c>
      <c r="H49" s="18"/>
      <c r="I49" s="18"/>
      <c r="J49" s="18"/>
    </row>
    <row r="51" customFormat="false" ht="21.75" hidden="false" customHeight="true" outlineLevel="0" collapsed="false">
      <c r="A51" s="29" t="s">
        <v>160</v>
      </c>
      <c r="B51" s="29"/>
      <c r="C51" s="29"/>
      <c r="D51" s="29"/>
      <c r="E51" s="29"/>
      <c r="F51" s="29"/>
      <c r="G51" s="29"/>
      <c r="H51" s="29"/>
      <c r="I51" s="29"/>
      <c r="J51" s="29"/>
    </row>
    <row r="52" customFormat="false" ht="19.4" hidden="false" customHeight="false" outlineLevel="0" collapsed="false">
      <c r="A52" s="30" t="s">
        <v>93</v>
      </c>
      <c r="B52" s="30" t="s">
        <v>94</v>
      </c>
      <c r="C52" s="30" t="s">
        <v>95</v>
      </c>
      <c r="D52" s="30" t="s">
        <v>96</v>
      </c>
      <c r="E52" s="30" t="s">
        <v>97</v>
      </c>
      <c r="F52" s="30" t="s">
        <v>98</v>
      </c>
      <c r="G52" s="30" t="s">
        <v>99</v>
      </c>
      <c r="H52" s="30" t="s">
        <v>100</v>
      </c>
      <c r="I52" s="30" t="s">
        <v>101</v>
      </c>
      <c r="J52" s="30" t="s">
        <v>102</v>
      </c>
    </row>
    <row r="53" customFormat="false" ht="15" hidden="false" customHeight="false" outlineLevel="0" collapsed="false">
      <c r="A53" s="11" t="s">
        <v>161</v>
      </c>
      <c r="B53" s="31" t="s">
        <v>104</v>
      </c>
      <c r="C53" s="32" t="n">
        <v>200</v>
      </c>
      <c r="D53" s="33" t="n">
        <v>0.02</v>
      </c>
      <c r="E53" s="13" t="n">
        <f aca="false">C53*D53</f>
        <v>4</v>
      </c>
      <c r="F53" s="34" t="n">
        <v>1</v>
      </c>
      <c r="G53" s="13" t="n">
        <f aca="false">E53*F53</f>
        <v>4</v>
      </c>
      <c r="H53" s="35" t="n">
        <f aca="false">IFERROR(G53/SUM(G53:G59),0)</f>
        <v>0.135823429541596</v>
      </c>
      <c r="I53" s="36"/>
      <c r="J53" s="37" t="n">
        <f aca="true">TODAY()</f>
        <v>46241</v>
      </c>
    </row>
    <row r="54" customFormat="false" ht="15" hidden="false" customHeight="false" outlineLevel="0" collapsed="false">
      <c r="A54" s="11" t="s">
        <v>113</v>
      </c>
      <c r="B54" s="31" t="s">
        <v>104</v>
      </c>
      <c r="C54" s="32" t="n">
        <v>50</v>
      </c>
      <c r="D54" s="33" t="n">
        <v>0.035</v>
      </c>
      <c r="E54" s="13" t="n">
        <f aca="false">C54*D54</f>
        <v>1.75</v>
      </c>
      <c r="F54" s="34" t="n">
        <v>1</v>
      </c>
      <c r="G54" s="13" t="n">
        <f aca="false">E54*F54</f>
        <v>1.75</v>
      </c>
      <c r="H54" s="35" t="n">
        <f aca="false">IFERROR(G54/SUM(G53:G59),0)</f>
        <v>0.0594227504244482</v>
      </c>
      <c r="I54" s="36"/>
      <c r="J54" s="37" t="n">
        <f aca="true">TODAY()</f>
        <v>46241</v>
      </c>
    </row>
    <row r="55" customFormat="false" ht="15" hidden="false" customHeight="false" outlineLevel="0" collapsed="false">
      <c r="A55" s="11" t="s">
        <v>162</v>
      </c>
      <c r="B55" s="31" t="s">
        <v>104</v>
      </c>
      <c r="C55" s="32" t="n">
        <v>400</v>
      </c>
      <c r="D55" s="33" t="n">
        <v>0.0225</v>
      </c>
      <c r="E55" s="13" t="n">
        <f aca="false">C55*D55</f>
        <v>9</v>
      </c>
      <c r="F55" s="34" t="n">
        <v>1</v>
      </c>
      <c r="G55" s="13" t="n">
        <f aca="false">E55*F55</f>
        <v>9</v>
      </c>
      <c r="H55" s="35" t="n">
        <f aca="false">IFERROR(G55/SUM(G53:G59),0)</f>
        <v>0.305602716468591</v>
      </c>
      <c r="I55" s="36"/>
      <c r="J55" s="37" t="n">
        <f aca="true">TODAY()</f>
        <v>46241</v>
      </c>
    </row>
    <row r="56" customFormat="false" ht="15" hidden="false" customHeight="false" outlineLevel="0" collapsed="false">
      <c r="A56" s="11" t="s">
        <v>163</v>
      </c>
      <c r="B56" s="31" t="s">
        <v>110</v>
      </c>
      <c r="C56" s="32" t="n">
        <v>4</v>
      </c>
      <c r="D56" s="33" t="n">
        <v>1</v>
      </c>
      <c r="E56" s="13" t="n">
        <f aca="false">C56*D56</f>
        <v>4</v>
      </c>
      <c r="F56" s="34" t="n">
        <v>1.05</v>
      </c>
      <c r="G56" s="13" t="n">
        <f aca="false">E56*F56</f>
        <v>4.2</v>
      </c>
      <c r="H56" s="35" t="n">
        <f aca="false">IFERROR(G56/SUM(G53:G59),0)</f>
        <v>0.142614601018676</v>
      </c>
      <c r="I56" s="36" t="s">
        <v>164</v>
      </c>
      <c r="J56" s="37" t="n">
        <f aca="true">TODAY()</f>
        <v>46241</v>
      </c>
    </row>
    <row r="57" customFormat="false" ht="15" hidden="false" customHeight="false" outlineLevel="0" collapsed="false">
      <c r="A57" s="11" t="s">
        <v>165</v>
      </c>
      <c r="B57" s="31" t="s">
        <v>104</v>
      </c>
      <c r="C57" s="32" t="n">
        <v>200</v>
      </c>
      <c r="D57" s="33" t="n">
        <v>0.03</v>
      </c>
      <c r="E57" s="13" t="n">
        <f aca="false">C57*D57</f>
        <v>6</v>
      </c>
      <c r="F57" s="34" t="n">
        <v>1</v>
      </c>
      <c r="G57" s="13" t="n">
        <f aca="false">E57*F57</f>
        <v>6</v>
      </c>
      <c r="H57" s="35" t="n">
        <f aca="false">IFERROR(G57/SUM(G53:G59),0)</f>
        <v>0.203735144312394</v>
      </c>
      <c r="I57" s="36"/>
      <c r="J57" s="37" t="n">
        <f aca="true">TODAY()</f>
        <v>46241</v>
      </c>
    </row>
    <row r="58" customFormat="false" ht="15" hidden="false" customHeight="false" outlineLevel="0" collapsed="false">
      <c r="A58" s="11" t="s">
        <v>166</v>
      </c>
      <c r="B58" s="31" t="s">
        <v>104</v>
      </c>
      <c r="C58" s="32" t="n">
        <v>50</v>
      </c>
      <c r="D58" s="33" t="n">
        <v>0.06</v>
      </c>
      <c r="E58" s="13" t="n">
        <f aca="false">C58*D58</f>
        <v>3</v>
      </c>
      <c r="F58" s="34" t="n">
        <v>1</v>
      </c>
      <c r="G58" s="13" t="n">
        <f aca="false">E58*F58</f>
        <v>3</v>
      </c>
      <c r="H58" s="35" t="n">
        <f aca="false">IFERROR(G58/SUM(G53:G59),0)</f>
        <v>0.101867572156197</v>
      </c>
      <c r="I58" s="36"/>
      <c r="J58" s="37" t="n">
        <f aca="true">TODAY()</f>
        <v>46241</v>
      </c>
    </row>
    <row r="59" customFormat="false" ht="15" hidden="false" customHeight="false" outlineLevel="0" collapsed="false">
      <c r="A59" s="11" t="s">
        <v>151</v>
      </c>
      <c r="B59" s="31" t="s">
        <v>110</v>
      </c>
      <c r="C59" s="32" t="n">
        <v>8</v>
      </c>
      <c r="D59" s="33" t="n">
        <v>0.1875</v>
      </c>
      <c r="E59" s="13" t="n">
        <f aca="false">C59*D59</f>
        <v>1.5</v>
      </c>
      <c r="F59" s="34" t="n">
        <v>1</v>
      </c>
      <c r="G59" s="13" t="n">
        <f aca="false">E59*F59</f>
        <v>1.5</v>
      </c>
      <c r="H59" s="35" t="n">
        <f aca="false">IFERROR(G59/SUM(G53:G59),0)</f>
        <v>0.0509337860780985</v>
      </c>
      <c r="I59" s="36" t="s">
        <v>167</v>
      </c>
      <c r="J59" s="37" t="n">
        <f aca="true">TODAY()</f>
        <v>46241</v>
      </c>
    </row>
    <row r="60" customFormat="false" ht="15" hidden="false" customHeight="false" outlineLevel="0" collapsed="false">
      <c r="A60" s="38" t="s">
        <v>123</v>
      </c>
      <c r="B60" s="39"/>
      <c r="C60" s="39"/>
      <c r="D60" s="39"/>
      <c r="E60" s="39"/>
      <c r="F60" s="39"/>
      <c r="G60" s="40" t="n">
        <f aca="false">SUM(G53:G59)</f>
        <v>29.45</v>
      </c>
      <c r="H60" s="40"/>
      <c r="I60" s="40"/>
      <c r="J60" s="40"/>
    </row>
    <row r="61" customFormat="false" ht="15" hidden="false" customHeight="false" outlineLevel="0" collapsed="false">
      <c r="A61" s="41" t="s">
        <v>124</v>
      </c>
      <c r="B61" s="42"/>
      <c r="C61" s="42"/>
      <c r="D61" s="42"/>
      <c r="E61" s="42"/>
      <c r="F61" s="42"/>
      <c r="G61" s="43" t="n">
        <f aca="false">G60*(1+'Custos &amp; Ponto Equilíbrio'!$B$8)</f>
        <v>31.806</v>
      </c>
      <c r="H61" s="43"/>
      <c r="I61" s="43"/>
      <c r="J61" s="43"/>
    </row>
    <row r="62" customFormat="false" ht="15" hidden="false" customHeight="false" outlineLevel="0" collapsed="false">
      <c r="A62" s="3" t="s">
        <v>125</v>
      </c>
      <c r="B62" s="44"/>
      <c r="C62" s="44"/>
      <c r="D62" s="44"/>
      <c r="E62" s="44"/>
      <c r="F62" s="44"/>
      <c r="G62" s="45" t="n">
        <v>8</v>
      </c>
      <c r="H62" s="45"/>
      <c r="I62" s="45"/>
      <c r="J62" s="45"/>
    </row>
    <row r="63" customFormat="false" ht="15" hidden="false" customHeight="false" outlineLevel="0" collapsed="false">
      <c r="A63" s="46" t="s">
        <v>126</v>
      </c>
      <c r="B63" s="44"/>
      <c r="C63" s="44"/>
      <c r="D63" s="44"/>
      <c r="E63" s="44"/>
      <c r="F63" s="44"/>
      <c r="G63" s="17" t="n">
        <f aca="false">G61/G62</f>
        <v>3.97575</v>
      </c>
      <c r="H63" s="17"/>
      <c r="I63" s="17"/>
      <c r="J63" s="17"/>
    </row>
    <row r="64" customFormat="false" ht="15" hidden="false" customHeight="false" outlineLevel="0" collapsed="false">
      <c r="A64" s="47" t="s">
        <v>127</v>
      </c>
      <c r="B64" s="48"/>
      <c r="C64" s="48"/>
      <c r="D64" s="48"/>
      <c r="E64" s="48"/>
      <c r="F64" s="48"/>
      <c r="G64" s="49" t="n">
        <f aca="false">G63*'Custos &amp; Ponto Equilíbrio'!$B$7</f>
        <v>11.92725</v>
      </c>
      <c r="H64" s="49"/>
      <c r="I64" s="49"/>
      <c r="J64" s="49"/>
    </row>
    <row r="65" customFormat="false" ht="15" hidden="false" customHeight="false" outlineLevel="0" collapsed="false">
      <c r="A65" s="50" t="s">
        <v>128</v>
      </c>
      <c r="B65" s="51"/>
      <c r="C65" s="51"/>
      <c r="D65" s="51"/>
      <c r="E65" s="51"/>
      <c r="F65" s="51"/>
      <c r="G65" s="52" t="n">
        <f aca="false">IFERROR(G63/G64,0)</f>
        <v>0.333333333333333</v>
      </c>
      <c r="H65" s="52"/>
      <c r="I65" s="52"/>
      <c r="J65" s="52"/>
    </row>
    <row r="66" customFormat="false" ht="15" hidden="false" customHeight="false" outlineLevel="0" collapsed="false">
      <c r="A66" s="46" t="s">
        <v>129</v>
      </c>
      <c r="B66" s="44"/>
      <c r="C66" s="44"/>
      <c r="D66" s="44"/>
      <c r="E66" s="44"/>
      <c r="F66" s="44"/>
      <c r="G66" s="18" t="n">
        <f aca="false">IFERROR(1-G65,0)</f>
        <v>0.666666666666667</v>
      </c>
      <c r="H66" s="18"/>
      <c r="I66" s="18"/>
      <c r="J66" s="18"/>
    </row>
    <row r="68" customFormat="false" ht="21.75" hidden="false" customHeight="true" outlineLevel="0" collapsed="false">
      <c r="A68" s="29" t="s">
        <v>168</v>
      </c>
      <c r="B68" s="29"/>
      <c r="C68" s="29"/>
      <c r="D68" s="29"/>
      <c r="E68" s="29"/>
      <c r="F68" s="29"/>
      <c r="G68" s="29"/>
      <c r="H68" s="29"/>
      <c r="I68" s="29"/>
      <c r="J68" s="29"/>
    </row>
    <row r="69" customFormat="false" ht="19.4" hidden="false" customHeight="false" outlineLevel="0" collapsed="false">
      <c r="A69" s="30" t="s">
        <v>93</v>
      </c>
      <c r="B69" s="30" t="s">
        <v>94</v>
      </c>
      <c r="C69" s="30" t="s">
        <v>95</v>
      </c>
      <c r="D69" s="30" t="s">
        <v>96</v>
      </c>
      <c r="E69" s="30" t="s">
        <v>97</v>
      </c>
      <c r="F69" s="30" t="s">
        <v>98</v>
      </c>
      <c r="G69" s="30" t="s">
        <v>99</v>
      </c>
      <c r="H69" s="30" t="s">
        <v>100</v>
      </c>
      <c r="I69" s="30" t="s">
        <v>101</v>
      </c>
      <c r="J69" s="30" t="s">
        <v>102</v>
      </c>
    </row>
    <row r="70" customFormat="false" ht="15" hidden="false" customHeight="false" outlineLevel="0" collapsed="false">
      <c r="A70" s="11" t="s">
        <v>169</v>
      </c>
      <c r="B70" s="31" t="s">
        <v>104</v>
      </c>
      <c r="C70" s="32" t="n">
        <v>200</v>
      </c>
      <c r="D70" s="33" t="n">
        <v>0.025</v>
      </c>
      <c r="E70" s="13" t="n">
        <f aca="false">C70*D70</f>
        <v>5</v>
      </c>
      <c r="F70" s="34" t="n">
        <v>1</v>
      </c>
      <c r="G70" s="13" t="n">
        <f aca="false">E70*F70</f>
        <v>5</v>
      </c>
      <c r="H70" s="35" t="n">
        <f aca="false">IFERROR(G70/SUM(G70:G75),0)</f>
        <v>0.198412698412698</v>
      </c>
      <c r="I70" s="36"/>
      <c r="J70" s="37" t="n">
        <f aca="true">TODAY()</f>
        <v>46241</v>
      </c>
    </row>
    <row r="71" customFormat="false" ht="15" hidden="false" customHeight="false" outlineLevel="0" collapsed="false">
      <c r="A71" s="11" t="s">
        <v>148</v>
      </c>
      <c r="B71" s="31" t="s">
        <v>149</v>
      </c>
      <c r="C71" s="32" t="n">
        <v>1</v>
      </c>
      <c r="D71" s="33" t="n">
        <v>7</v>
      </c>
      <c r="E71" s="13" t="n">
        <f aca="false">C71*D71</f>
        <v>7</v>
      </c>
      <c r="F71" s="34" t="n">
        <v>1</v>
      </c>
      <c r="G71" s="13" t="n">
        <f aca="false">E71*F71</f>
        <v>7</v>
      </c>
      <c r="H71" s="35" t="n">
        <f aca="false">IFERROR(G71/SUM(G70:G75),0)</f>
        <v>0.277777777777778</v>
      </c>
      <c r="I71" s="36"/>
      <c r="J71" s="37" t="n">
        <f aca="true">TODAY()</f>
        <v>46241</v>
      </c>
    </row>
    <row r="72" customFormat="false" ht="15" hidden="false" customHeight="false" outlineLevel="0" collapsed="false">
      <c r="A72" s="11" t="s">
        <v>111</v>
      </c>
      <c r="B72" s="31" t="s">
        <v>112</v>
      </c>
      <c r="C72" s="32" t="n">
        <v>500</v>
      </c>
      <c r="D72" s="33" t="n">
        <v>0.005</v>
      </c>
      <c r="E72" s="13" t="n">
        <f aca="false">C72*D72</f>
        <v>2.5</v>
      </c>
      <c r="F72" s="34" t="n">
        <v>1</v>
      </c>
      <c r="G72" s="13" t="n">
        <f aca="false">E72*F72</f>
        <v>2.5</v>
      </c>
      <c r="H72" s="35" t="n">
        <f aca="false">IFERROR(G72/SUM(G70:G75),0)</f>
        <v>0.0992063492063492</v>
      </c>
      <c r="I72" s="36"/>
      <c r="J72" s="37" t="n">
        <f aca="true">TODAY()</f>
        <v>46241</v>
      </c>
    </row>
    <row r="73" customFormat="false" ht="15" hidden="false" customHeight="false" outlineLevel="0" collapsed="false">
      <c r="A73" s="11" t="s">
        <v>146</v>
      </c>
      <c r="B73" s="31" t="s">
        <v>147</v>
      </c>
      <c r="C73" s="32" t="n">
        <v>2</v>
      </c>
      <c r="D73" s="33" t="n">
        <v>4</v>
      </c>
      <c r="E73" s="13" t="n">
        <f aca="false">C73*D73</f>
        <v>8</v>
      </c>
      <c r="F73" s="34" t="n">
        <v>1</v>
      </c>
      <c r="G73" s="13" t="n">
        <f aca="false">E73*F73</f>
        <v>8</v>
      </c>
      <c r="H73" s="35" t="n">
        <f aca="false">IFERROR(G73/SUM(G70:G75),0)</f>
        <v>0.317460317460317</v>
      </c>
      <c r="I73" s="36"/>
      <c r="J73" s="37" t="n">
        <f aca="true">TODAY()</f>
        <v>46241</v>
      </c>
    </row>
    <row r="74" customFormat="false" ht="15" hidden="false" customHeight="false" outlineLevel="0" collapsed="false">
      <c r="A74" s="11" t="s">
        <v>170</v>
      </c>
      <c r="B74" s="31" t="s">
        <v>104</v>
      </c>
      <c r="C74" s="32" t="n">
        <v>50</v>
      </c>
      <c r="D74" s="33" t="n">
        <v>0.03</v>
      </c>
      <c r="E74" s="13" t="n">
        <f aca="false">C74*D74</f>
        <v>1.5</v>
      </c>
      <c r="F74" s="34" t="n">
        <v>1</v>
      </c>
      <c r="G74" s="13" t="n">
        <f aca="false">E74*F74</f>
        <v>1.5</v>
      </c>
      <c r="H74" s="35" t="n">
        <f aca="false">IFERROR(G74/SUM(G70:G75),0)</f>
        <v>0.0595238095238095</v>
      </c>
      <c r="I74" s="36"/>
      <c r="J74" s="37" t="n">
        <f aca="true">TODAY()</f>
        <v>46241</v>
      </c>
    </row>
    <row r="75" customFormat="false" ht="15" hidden="false" customHeight="false" outlineLevel="0" collapsed="false">
      <c r="A75" s="11" t="s">
        <v>151</v>
      </c>
      <c r="B75" s="31" t="s">
        <v>110</v>
      </c>
      <c r="C75" s="32" t="n">
        <v>10</v>
      </c>
      <c r="D75" s="33" t="n">
        <v>0.12</v>
      </c>
      <c r="E75" s="13" t="n">
        <f aca="false">C75*D75</f>
        <v>1.2</v>
      </c>
      <c r="F75" s="34" t="n">
        <v>1</v>
      </c>
      <c r="G75" s="13" t="n">
        <f aca="false">E75*F75</f>
        <v>1.2</v>
      </c>
      <c r="H75" s="35" t="n">
        <f aca="false">IFERROR(G75/SUM(G70:G75),0)</f>
        <v>0.0476190476190476</v>
      </c>
      <c r="I75" s="36" t="s">
        <v>152</v>
      </c>
      <c r="J75" s="37" t="n">
        <f aca="true">TODAY()</f>
        <v>46241</v>
      </c>
    </row>
    <row r="76" customFormat="false" ht="15" hidden="false" customHeight="false" outlineLevel="0" collapsed="false">
      <c r="A76" s="38" t="s">
        <v>123</v>
      </c>
      <c r="B76" s="39"/>
      <c r="C76" s="39"/>
      <c r="D76" s="39"/>
      <c r="E76" s="39"/>
      <c r="F76" s="39"/>
      <c r="G76" s="40" t="n">
        <f aca="false">SUM(G70:G75)</f>
        <v>25.2</v>
      </c>
      <c r="H76" s="40"/>
      <c r="I76" s="40"/>
      <c r="J76" s="40"/>
    </row>
    <row r="77" customFormat="false" ht="15" hidden="false" customHeight="false" outlineLevel="0" collapsed="false">
      <c r="A77" s="41" t="s">
        <v>124</v>
      </c>
      <c r="B77" s="42"/>
      <c r="C77" s="42"/>
      <c r="D77" s="42"/>
      <c r="E77" s="42"/>
      <c r="F77" s="42"/>
      <c r="G77" s="43" t="n">
        <f aca="false">G76*(1+'Custos &amp; Ponto Equilíbrio'!$B$8)</f>
        <v>27.216</v>
      </c>
      <c r="H77" s="43"/>
      <c r="I77" s="43"/>
      <c r="J77" s="43"/>
    </row>
    <row r="78" customFormat="false" ht="15" hidden="false" customHeight="false" outlineLevel="0" collapsed="false">
      <c r="A78" s="3" t="s">
        <v>125</v>
      </c>
      <c r="B78" s="44"/>
      <c r="C78" s="44"/>
      <c r="D78" s="44"/>
      <c r="E78" s="44"/>
      <c r="F78" s="44"/>
      <c r="G78" s="45" t="n">
        <v>10</v>
      </c>
      <c r="H78" s="45"/>
      <c r="I78" s="45"/>
      <c r="J78" s="45"/>
    </row>
    <row r="79" customFormat="false" ht="15" hidden="false" customHeight="false" outlineLevel="0" collapsed="false">
      <c r="A79" s="46" t="s">
        <v>126</v>
      </c>
      <c r="B79" s="44"/>
      <c r="C79" s="44"/>
      <c r="D79" s="44"/>
      <c r="E79" s="44"/>
      <c r="F79" s="44"/>
      <c r="G79" s="17" t="n">
        <f aca="false">G77/G78</f>
        <v>2.7216</v>
      </c>
      <c r="H79" s="17"/>
      <c r="I79" s="17"/>
      <c r="J79" s="17"/>
    </row>
    <row r="80" customFormat="false" ht="15" hidden="false" customHeight="false" outlineLevel="0" collapsed="false">
      <c r="A80" s="47" t="s">
        <v>127</v>
      </c>
      <c r="B80" s="48"/>
      <c r="C80" s="48"/>
      <c r="D80" s="48"/>
      <c r="E80" s="48"/>
      <c r="F80" s="48"/>
      <c r="G80" s="49" t="n">
        <f aca="false">G79*'Custos &amp; Ponto Equilíbrio'!$B$7</f>
        <v>8.1648</v>
      </c>
      <c r="H80" s="49"/>
      <c r="I80" s="49"/>
      <c r="J80" s="49"/>
    </row>
    <row r="81" customFormat="false" ht="15" hidden="false" customHeight="false" outlineLevel="0" collapsed="false">
      <c r="A81" s="50" t="s">
        <v>128</v>
      </c>
      <c r="B81" s="51"/>
      <c r="C81" s="51"/>
      <c r="D81" s="51"/>
      <c r="E81" s="51"/>
      <c r="F81" s="51"/>
      <c r="G81" s="52" t="n">
        <f aca="false">IFERROR(G79/G80,0)</f>
        <v>0.333333333333333</v>
      </c>
      <c r="H81" s="52"/>
      <c r="I81" s="52"/>
      <c r="J81" s="52"/>
    </row>
    <row r="82" customFormat="false" ht="15" hidden="false" customHeight="false" outlineLevel="0" collapsed="false">
      <c r="A82" s="46" t="s">
        <v>129</v>
      </c>
      <c r="B82" s="44"/>
      <c r="C82" s="44"/>
      <c r="D82" s="44"/>
      <c r="E82" s="44"/>
      <c r="F82" s="44"/>
      <c r="G82" s="18" t="n">
        <f aca="false">IFERROR(1-G81,0)</f>
        <v>0.666666666666667</v>
      </c>
      <c r="H82" s="18"/>
      <c r="I82" s="18"/>
      <c r="J82" s="18"/>
    </row>
  </sheetData>
  <mergeCells count="78">
    <mergeCell ref="A1:J1"/>
    <mergeCell ref="A3:J3"/>
    <mergeCell ref="G4:J4"/>
    <mergeCell ref="A6:J6"/>
    <mergeCell ref="B13:F13"/>
    <mergeCell ref="G13:J13"/>
    <mergeCell ref="B14:F14"/>
    <mergeCell ref="G14:J14"/>
    <mergeCell ref="B15:F15"/>
    <mergeCell ref="G15:J15"/>
    <mergeCell ref="B16:F16"/>
    <mergeCell ref="G16:J16"/>
    <mergeCell ref="B17:F17"/>
    <mergeCell ref="G17:J17"/>
    <mergeCell ref="B18:F18"/>
    <mergeCell ref="G18:J18"/>
    <mergeCell ref="B19:F19"/>
    <mergeCell ref="G19:J19"/>
    <mergeCell ref="A21:J21"/>
    <mergeCell ref="B28:F28"/>
    <mergeCell ref="G28:J28"/>
    <mergeCell ref="B29:F29"/>
    <mergeCell ref="G29:J29"/>
    <mergeCell ref="B30:F30"/>
    <mergeCell ref="G30:J30"/>
    <mergeCell ref="B31:F31"/>
    <mergeCell ref="G31:J31"/>
    <mergeCell ref="B32:F32"/>
    <mergeCell ref="G32:J32"/>
    <mergeCell ref="B33:F33"/>
    <mergeCell ref="G33:J33"/>
    <mergeCell ref="B34:F34"/>
    <mergeCell ref="G34:J34"/>
    <mergeCell ref="A36:J36"/>
    <mergeCell ref="B43:F43"/>
    <mergeCell ref="G43:J43"/>
    <mergeCell ref="B44:F44"/>
    <mergeCell ref="G44:J44"/>
    <mergeCell ref="B45:F45"/>
    <mergeCell ref="G45:J45"/>
    <mergeCell ref="B46:F46"/>
    <mergeCell ref="G46:J46"/>
    <mergeCell ref="B47:F47"/>
    <mergeCell ref="G47:J47"/>
    <mergeCell ref="B48:F48"/>
    <mergeCell ref="G48:J48"/>
    <mergeCell ref="B49:F49"/>
    <mergeCell ref="G49:J49"/>
    <mergeCell ref="A51:J51"/>
    <mergeCell ref="B60:F60"/>
    <mergeCell ref="G60:J60"/>
    <mergeCell ref="B61:F61"/>
    <mergeCell ref="G61:J61"/>
    <mergeCell ref="B62:F62"/>
    <mergeCell ref="G62:J62"/>
    <mergeCell ref="B63:F63"/>
    <mergeCell ref="G63:J63"/>
    <mergeCell ref="B64:F64"/>
    <mergeCell ref="G64:J64"/>
    <mergeCell ref="B65:F65"/>
    <mergeCell ref="G65:J65"/>
    <mergeCell ref="B66:F66"/>
    <mergeCell ref="G66:J66"/>
    <mergeCell ref="A68:J68"/>
    <mergeCell ref="B76:F76"/>
    <mergeCell ref="G76:J76"/>
    <mergeCell ref="B77:F77"/>
    <mergeCell ref="G77:J77"/>
    <mergeCell ref="B78:F78"/>
    <mergeCell ref="G78:J78"/>
    <mergeCell ref="B79:F79"/>
    <mergeCell ref="G79:J79"/>
    <mergeCell ref="B80:F80"/>
    <mergeCell ref="G80:J80"/>
    <mergeCell ref="B81:F81"/>
    <mergeCell ref="G81:J81"/>
    <mergeCell ref="B82:F82"/>
    <mergeCell ref="G82:J8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5" min="3" style="0" width="16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6"/>
  </cols>
  <sheetData>
    <row r="1" customFormat="false" ht="37.5" hidden="false" customHeight="true" outlineLevel="0" collapsed="false">
      <c r="A1" s="1" t="s">
        <v>171</v>
      </c>
      <c r="B1" s="1"/>
      <c r="C1" s="1"/>
      <c r="D1" s="1"/>
      <c r="E1" s="1"/>
      <c r="F1" s="1"/>
      <c r="G1" s="1"/>
      <c r="H1" s="1"/>
    </row>
    <row r="3" customFormat="false" ht="18" hidden="false" customHeight="true" outlineLevel="0" collapsed="false">
      <c r="A3" s="53" t="s">
        <v>172</v>
      </c>
      <c r="B3" s="53"/>
      <c r="C3" s="53"/>
      <c r="D3" s="53"/>
      <c r="E3" s="53"/>
      <c r="F3" s="53"/>
      <c r="G3" s="53"/>
      <c r="H3" s="53"/>
    </row>
    <row r="4" customFormat="false" ht="15" hidden="false" customHeight="false" outlineLevel="0" collapsed="false">
      <c r="A4" s="10" t="s">
        <v>173</v>
      </c>
      <c r="B4" s="10" t="s">
        <v>174</v>
      </c>
      <c r="C4" s="10" t="s">
        <v>175</v>
      </c>
      <c r="D4" s="10" t="s">
        <v>176</v>
      </c>
      <c r="E4" s="10" t="s">
        <v>177</v>
      </c>
      <c r="F4" s="10" t="s">
        <v>178</v>
      </c>
      <c r="G4" s="10" t="s">
        <v>179</v>
      </c>
      <c r="H4" s="10" t="s">
        <v>180</v>
      </c>
    </row>
    <row r="5" customFormat="false" ht="15" hidden="false" customHeight="false" outlineLevel="0" collapsed="false">
      <c r="A5" s="54" t="s">
        <v>181</v>
      </c>
      <c r="B5" s="54"/>
      <c r="C5" s="54"/>
      <c r="D5" s="54"/>
      <c r="E5" s="54"/>
      <c r="F5" s="54"/>
      <c r="G5" s="54"/>
      <c r="H5" s="54"/>
    </row>
    <row r="6" customFormat="false" ht="15" hidden="false" customHeight="false" outlineLevel="0" collapsed="false">
      <c r="A6" s="55" t="s">
        <v>182</v>
      </c>
      <c r="B6" s="11" t="s">
        <v>183</v>
      </c>
      <c r="C6" s="31" t="s">
        <v>184</v>
      </c>
      <c r="D6" s="56" t="n">
        <f aca="false">'Fichas Técnicas - Pães'!G23</f>
        <v>2.64681</v>
      </c>
      <c r="E6" s="57" t="n">
        <f aca="false">'Fichas Técnicas - Pães'!G24</f>
        <v>7.675749</v>
      </c>
      <c r="F6" s="35" t="n">
        <f aca="false">'Fichas Técnicas - Pães'!G25</f>
        <v>0.344827586206897</v>
      </c>
      <c r="G6" s="58" t="n">
        <f aca="false">IFERROR(E6/D6,0)</f>
        <v>2.9</v>
      </c>
      <c r="H6" s="59" t="str">
        <f aca="false">IF(F6&lt;='Custos &amp; Ponto Equilíbrio'!$B$5,"🟢 Ideal",IF(F6&lt;='Custos &amp; Ponto Equilíbrio'!$B$4,"🟡 Atenção","🔴 Alto"))</f>
        <v>🟡 Atenção</v>
      </c>
    </row>
    <row r="7" customFormat="false" ht="15" hidden="false" customHeight="false" outlineLevel="0" collapsed="false">
      <c r="A7" s="55" t="s">
        <v>185</v>
      </c>
      <c r="B7" s="11" t="s">
        <v>186</v>
      </c>
      <c r="C7" s="31" t="s">
        <v>184</v>
      </c>
      <c r="D7" s="56" t="n">
        <f aca="false">'Fichas Técnicas - Pães'!G44</f>
        <v>2.03391</v>
      </c>
      <c r="E7" s="57" t="n">
        <f aca="false">'Fichas Técnicas - Pães'!G45</f>
        <v>5.898339</v>
      </c>
      <c r="F7" s="35" t="n">
        <f aca="false">'Fichas Técnicas - Pães'!G46</f>
        <v>0.344827586206897</v>
      </c>
      <c r="G7" s="58" t="n">
        <f aca="false">IFERROR(E7/D7,0)</f>
        <v>2.9</v>
      </c>
      <c r="H7" s="59" t="str">
        <f aca="false">IF(F7&lt;='Custos &amp; Ponto Equilíbrio'!$B$5,"🟢 Ideal",IF(F7&lt;='Custos &amp; Ponto Equilíbrio'!$B$4,"🟡 Atenção","🔴 Alto"))</f>
        <v>🟡 Atenção</v>
      </c>
    </row>
    <row r="8" customFormat="false" ht="15" hidden="false" customHeight="false" outlineLevel="0" collapsed="false">
      <c r="A8" s="55" t="s">
        <v>187</v>
      </c>
      <c r="B8" s="11" t="s">
        <v>188</v>
      </c>
      <c r="C8" s="31" t="s">
        <v>184</v>
      </c>
      <c r="D8" s="56" t="n">
        <f aca="false">'Fichas Técnicas - Pães'!G64</f>
        <v>2.04471</v>
      </c>
      <c r="E8" s="57" t="n">
        <f aca="false">'Fichas Técnicas - Pães'!G65</f>
        <v>5.929659</v>
      </c>
      <c r="F8" s="35" t="n">
        <f aca="false">'Fichas Técnicas - Pães'!G66</f>
        <v>0.344827586206897</v>
      </c>
      <c r="G8" s="58" t="n">
        <f aca="false">IFERROR(E8/D8,0)</f>
        <v>2.9</v>
      </c>
      <c r="H8" s="59" t="str">
        <f aca="false">IF(F8&lt;='Custos &amp; Ponto Equilíbrio'!$B$5,"🟢 Ideal",IF(F8&lt;='Custos &amp; Ponto Equilíbrio'!$B$4,"🟡 Atenção","🔴 Alto"))</f>
        <v>🟡 Atenção</v>
      </c>
    </row>
    <row r="9" customFormat="false" ht="15" hidden="false" customHeight="false" outlineLevel="0" collapsed="false">
      <c r="A9" s="55" t="s">
        <v>189</v>
      </c>
      <c r="B9" s="11" t="s">
        <v>190</v>
      </c>
      <c r="C9" s="31" t="s">
        <v>184</v>
      </c>
      <c r="D9" s="56" t="n">
        <f aca="false">'Fichas Técnicas - Pães'!G85</f>
        <v>2.41191</v>
      </c>
      <c r="E9" s="57" t="n">
        <f aca="false">'Fichas Técnicas - Pães'!G86</f>
        <v>6.994539</v>
      </c>
      <c r="F9" s="35" t="n">
        <f aca="false">'Fichas Técnicas - Pães'!G87</f>
        <v>0.344827586206897</v>
      </c>
      <c r="G9" s="58" t="n">
        <f aca="false">IFERROR(E9/D9,0)</f>
        <v>2.9</v>
      </c>
      <c r="H9" s="59" t="str">
        <f aca="false">IF(F9&lt;='Custos &amp; Ponto Equilíbrio'!$B$5,"🟢 Ideal",IF(F9&lt;='Custos &amp; Ponto Equilíbrio'!$B$4,"🟡 Atenção","🔴 Alto"))</f>
        <v>🟡 Atenção</v>
      </c>
    </row>
    <row r="10" customFormat="false" ht="15" hidden="false" customHeight="false" outlineLevel="0" collapsed="false">
      <c r="A10" s="54" t="s">
        <v>191</v>
      </c>
      <c r="B10" s="54"/>
      <c r="C10" s="54"/>
      <c r="D10" s="54"/>
      <c r="E10" s="54"/>
      <c r="F10" s="54"/>
      <c r="G10" s="54"/>
      <c r="H10" s="54"/>
    </row>
    <row r="11" customFormat="false" ht="15" hidden="false" customHeight="false" outlineLevel="0" collapsed="false">
      <c r="A11" s="55" t="s">
        <v>192</v>
      </c>
      <c r="B11" s="11" t="s">
        <v>193</v>
      </c>
      <c r="C11" s="31" t="s">
        <v>194</v>
      </c>
      <c r="D11" s="56" t="n">
        <f aca="false">'Fichas Técnicas - Sobremesas'!G16</f>
        <v>3.3696</v>
      </c>
      <c r="E11" s="57" t="n">
        <f aca="false">'Fichas Técnicas - Sobremesas'!G17</f>
        <v>10.1088</v>
      </c>
      <c r="F11" s="35" t="n">
        <f aca="false">'Fichas Técnicas - Sobremesas'!G18</f>
        <v>0.333333333333333</v>
      </c>
      <c r="G11" s="58" t="n">
        <f aca="false">IFERROR(E11/D11,0)</f>
        <v>3</v>
      </c>
      <c r="H11" s="59" t="str">
        <f aca="false">IF(F11&lt;='Custos &amp; Ponto Equilíbrio'!$B$5,"🟢 Ideal",IF(F11&lt;='Custos &amp; Ponto Equilíbrio'!$B$4,"🟡 Atenção","🔴 Alto"))</f>
        <v>🟡 Atenção</v>
      </c>
    </row>
    <row r="12" customFormat="false" ht="15" hidden="false" customHeight="false" outlineLevel="0" collapsed="false">
      <c r="A12" s="55" t="s">
        <v>195</v>
      </c>
      <c r="B12" s="11" t="s">
        <v>196</v>
      </c>
      <c r="C12" s="31" t="s">
        <v>194</v>
      </c>
      <c r="D12" s="56" t="n">
        <f aca="false">'Fichas Técnicas - Sobremesas'!G31</f>
        <v>2.6136</v>
      </c>
      <c r="E12" s="57" t="n">
        <f aca="false">'Fichas Técnicas - Sobremesas'!G32</f>
        <v>7.8408</v>
      </c>
      <c r="F12" s="35" t="n">
        <f aca="false">'Fichas Técnicas - Sobremesas'!G33</f>
        <v>0.333333333333333</v>
      </c>
      <c r="G12" s="58" t="n">
        <f aca="false">IFERROR(E12/D12,0)</f>
        <v>3</v>
      </c>
      <c r="H12" s="59" t="str">
        <f aca="false">IF(F12&lt;='Custos &amp; Ponto Equilíbrio'!$B$5,"🟢 Ideal",IF(F12&lt;='Custos &amp; Ponto Equilíbrio'!$B$4,"🟡 Atenção","🔴 Alto"))</f>
        <v>🟡 Atenção</v>
      </c>
    </row>
    <row r="13" customFormat="false" ht="15" hidden="false" customHeight="false" outlineLevel="0" collapsed="false">
      <c r="A13" s="55" t="s">
        <v>197</v>
      </c>
      <c r="B13" s="11" t="s">
        <v>198</v>
      </c>
      <c r="C13" s="31" t="s">
        <v>194</v>
      </c>
      <c r="D13" s="56" t="n">
        <f aca="false">'Fichas Técnicas - Sobremesas'!G46</f>
        <v>2.3382</v>
      </c>
      <c r="E13" s="57" t="n">
        <f aca="false">'Fichas Técnicas - Sobremesas'!G47</f>
        <v>7.0146</v>
      </c>
      <c r="F13" s="35" t="n">
        <f aca="false">'Fichas Técnicas - Sobremesas'!G48</f>
        <v>0.333333333333333</v>
      </c>
      <c r="G13" s="58" t="n">
        <f aca="false">IFERROR(E13/D13,0)</f>
        <v>3</v>
      </c>
      <c r="H13" s="59" t="str">
        <f aca="false">IF(F13&lt;='Custos &amp; Ponto Equilíbrio'!$B$5,"🟢 Ideal",IF(F13&lt;='Custos &amp; Ponto Equilíbrio'!$B$4,"🟡 Atenção","🔴 Alto"))</f>
        <v>🟡 Atenção</v>
      </c>
    </row>
    <row r="14" customFormat="false" ht="15" hidden="false" customHeight="false" outlineLevel="0" collapsed="false">
      <c r="A14" s="55" t="s">
        <v>199</v>
      </c>
      <c r="B14" s="11" t="s">
        <v>200</v>
      </c>
      <c r="C14" s="31" t="s">
        <v>194</v>
      </c>
      <c r="D14" s="56" t="n">
        <f aca="false">'Fichas Técnicas - Sobremesas'!G63</f>
        <v>3.97575</v>
      </c>
      <c r="E14" s="57" t="n">
        <f aca="false">'Fichas Técnicas - Sobremesas'!G64</f>
        <v>11.92725</v>
      </c>
      <c r="F14" s="35" t="n">
        <f aca="false">'Fichas Técnicas - Sobremesas'!G65</f>
        <v>0.333333333333333</v>
      </c>
      <c r="G14" s="58" t="n">
        <f aca="false">IFERROR(E14/D14,0)</f>
        <v>3</v>
      </c>
      <c r="H14" s="59" t="str">
        <f aca="false">IF(F14&lt;='Custos &amp; Ponto Equilíbrio'!$B$5,"🟢 Ideal",IF(F14&lt;='Custos &amp; Ponto Equilíbrio'!$B$4,"🟡 Atenção","🔴 Alto"))</f>
        <v>🟡 Atenção</v>
      </c>
    </row>
    <row r="15" customFormat="false" ht="15" hidden="false" customHeight="false" outlineLevel="0" collapsed="false">
      <c r="A15" s="55" t="s">
        <v>201</v>
      </c>
      <c r="B15" s="11" t="s">
        <v>202</v>
      </c>
      <c r="C15" s="31" t="s">
        <v>194</v>
      </c>
      <c r="D15" s="56" t="n">
        <f aca="false">'Fichas Técnicas - Sobremesas'!G79</f>
        <v>2.7216</v>
      </c>
      <c r="E15" s="57" t="n">
        <f aca="false">'Fichas Técnicas - Sobremesas'!G80</f>
        <v>8.1648</v>
      </c>
      <c r="F15" s="35" t="n">
        <f aca="false">'Fichas Técnicas - Sobremesas'!G81</f>
        <v>0.333333333333333</v>
      </c>
      <c r="G15" s="58" t="n">
        <f aca="false">IFERROR(E15/D15,0)</f>
        <v>3</v>
      </c>
      <c r="H15" s="59" t="str">
        <f aca="false">IF(F15&lt;='Custos &amp; Ponto Equilíbrio'!$B$5,"🟢 Ideal",IF(F15&lt;='Custos &amp; Ponto Equilíbrio'!$B$4,"🟡 Atenção","🔴 Alto"))</f>
        <v>🟡 Atenção</v>
      </c>
    </row>
    <row r="17" customFormat="false" ht="15" hidden="false" customHeight="false" outlineLevel="0" collapsed="false">
      <c r="A17" s="14" t="s">
        <v>203</v>
      </c>
      <c r="B17" s="14"/>
      <c r="C17" s="14"/>
      <c r="D17" s="15" t="n">
        <f aca="false">AVERAGE(D6:D9,D11:D15)</f>
        <v>2.68401</v>
      </c>
      <c r="E17" s="15" t="n">
        <f aca="false">AVERAGE(E6:E9,E11:E15)</f>
        <v>7.950504</v>
      </c>
      <c r="F17" s="60" t="n">
        <f aca="false">AVERAGE(F6:F9,F11:F15)</f>
        <v>0.338441890166028</v>
      </c>
      <c r="G17" s="61" t="n">
        <f aca="false">AVERAGE(G6:G9,G11:G15)</f>
        <v>2.95555555555556</v>
      </c>
      <c r="H17" s="62"/>
    </row>
    <row r="19" customFormat="false" ht="19.4" hidden="false" customHeight="true" outlineLevel="0" collapsed="false">
      <c r="A19" s="26" t="s">
        <v>204</v>
      </c>
      <c r="B19" s="26"/>
      <c r="C19" s="26"/>
      <c r="D19" s="26"/>
      <c r="E19" s="26"/>
      <c r="F19" s="26"/>
      <c r="G19" s="26"/>
      <c r="H19" s="26"/>
    </row>
  </sheetData>
  <mergeCells count="6">
    <mergeCell ref="A1:H1"/>
    <mergeCell ref="A3:H3"/>
    <mergeCell ref="A5:H5"/>
    <mergeCell ref="A10:H10"/>
    <mergeCell ref="A17:C17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</cols>
  <sheetData>
    <row r="1" customFormat="false" ht="37.5" hidden="false" customHeight="true" outlineLevel="0" collapsed="false">
      <c r="A1" s="1" t="s">
        <v>205</v>
      </c>
      <c r="B1" s="1"/>
      <c r="C1" s="1"/>
      <c r="D1" s="1"/>
      <c r="E1" s="1"/>
      <c r="F1" s="1"/>
      <c r="G1" s="1"/>
    </row>
    <row r="3" customFormat="false" ht="18" hidden="false" customHeight="true" outlineLevel="0" collapsed="false">
      <c r="A3" s="53" t="s">
        <v>206</v>
      </c>
      <c r="B3" s="53"/>
      <c r="C3" s="53"/>
      <c r="D3" s="53"/>
      <c r="E3" s="53"/>
      <c r="F3" s="53"/>
      <c r="G3" s="53"/>
    </row>
    <row r="4" customFormat="false" ht="15" hidden="false" customHeight="false" outlineLevel="0" collapsed="false">
      <c r="A4" s="63" t="s">
        <v>207</v>
      </c>
      <c r="B4" s="63" t="s">
        <v>208</v>
      </c>
      <c r="C4" s="63" t="s">
        <v>178</v>
      </c>
      <c r="D4" s="63" t="s">
        <v>209</v>
      </c>
      <c r="E4" s="63" t="s">
        <v>210</v>
      </c>
      <c r="F4" s="63" t="s">
        <v>211</v>
      </c>
    </row>
    <row r="5" customFormat="false" ht="24" hidden="false" customHeight="true" outlineLevel="0" collapsed="false">
      <c r="A5" s="64" t="n">
        <f aca="false">B14</f>
        <v>0</v>
      </c>
      <c r="B5" s="64" t="n">
        <f aca="false">B21</f>
        <v>0</v>
      </c>
      <c r="C5" s="65" t="n">
        <f aca="false">B22</f>
        <v>0</v>
      </c>
      <c r="D5" s="64" t="n">
        <f aca="false">'Custos &amp; Ponto Equilíbrio'!B22</f>
        <v>396</v>
      </c>
      <c r="E5" s="64" t="n">
        <f aca="false">B29</f>
        <v>-518.5</v>
      </c>
      <c r="F5" s="65" t="n">
        <f aca="false">B30</f>
        <v>0</v>
      </c>
    </row>
    <row r="7" customFormat="false" ht="18" hidden="false" customHeight="true" outlineLevel="0" collapsed="false">
      <c r="A7" s="9" t="s">
        <v>212</v>
      </c>
      <c r="B7" s="9"/>
      <c r="C7" s="9"/>
      <c r="D7" s="9"/>
      <c r="E7" s="9"/>
      <c r="F7" s="9"/>
      <c r="G7" s="9"/>
    </row>
    <row r="8" customFormat="false" ht="15" hidden="false" customHeight="false" outlineLevel="0" collapsed="false">
      <c r="A8" s="66" t="s">
        <v>213</v>
      </c>
      <c r="B8" s="66" t="s">
        <v>20</v>
      </c>
      <c r="C8" s="66" t="s">
        <v>21</v>
      </c>
      <c r="D8" s="66" t="s">
        <v>22</v>
      </c>
      <c r="E8" s="66" t="s">
        <v>23</v>
      </c>
      <c r="F8" s="66" t="s">
        <v>24</v>
      </c>
      <c r="G8" s="66" t="s">
        <v>25</v>
      </c>
    </row>
    <row r="9" customFormat="false" ht="15" hidden="false" customHeight="false" outlineLevel="0" collapsed="false">
      <c r="A9" s="11" t="s">
        <v>214</v>
      </c>
      <c r="B9" s="12" t="n">
        <v>0</v>
      </c>
      <c r="C9" s="12" t="n">
        <v>0</v>
      </c>
      <c r="D9" s="12" t="n">
        <v>0</v>
      </c>
      <c r="E9" s="12" t="n">
        <v>0</v>
      </c>
      <c r="F9" s="12" t="n">
        <v>0</v>
      </c>
      <c r="G9" s="12" t="n">
        <v>0</v>
      </c>
    </row>
    <row r="10" customFormat="false" ht="15" hidden="false" customHeight="false" outlineLevel="0" collapsed="false">
      <c r="A10" s="11" t="s">
        <v>215</v>
      </c>
      <c r="B10" s="12" t="n">
        <v>0</v>
      </c>
      <c r="C10" s="12" t="n">
        <v>0</v>
      </c>
      <c r="D10" s="12" t="n">
        <v>0</v>
      </c>
      <c r="E10" s="12" t="n">
        <v>0</v>
      </c>
      <c r="F10" s="12" t="n">
        <v>0</v>
      </c>
      <c r="G10" s="12" t="n">
        <v>0</v>
      </c>
    </row>
    <row r="11" customFormat="false" ht="15" hidden="false" customHeight="false" outlineLevel="0" collapsed="false">
      <c r="A11" s="11" t="s">
        <v>216</v>
      </c>
      <c r="B11" s="12" t="n">
        <v>0</v>
      </c>
      <c r="C11" s="12" t="n">
        <v>0</v>
      </c>
      <c r="D11" s="12" t="n">
        <v>0</v>
      </c>
      <c r="E11" s="12" t="n">
        <v>0</v>
      </c>
      <c r="F11" s="12" t="n">
        <v>0</v>
      </c>
      <c r="G11" s="12" t="n">
        <v>0</v>
      </c>
    </row>
    <row r="12" customFormat="false" ht="15" hidden="false" customHeight="false" outlineLevel="0" collapsed="false">
      <c r="A12" s="11" t="s">
        <v>217</v>
      </c>
      <c r="B12" s="12" t="n">
        <v>0</v>
      </c>
      <c r="C12" s="12" t="n">
        <v>0</v>
      </c>
      <c r="D12" s="12" t="n">
        <v>0</v>
      </c>
      <c r="E12" s="12" t="n">
        <v>0</v>
      </c>
      <c r="F12" s="12" t="n">
        <v>0</v>
      </c>
      <c r="G12" s="12" t="n">
        <v>0</v>
      </c>
    </row>
    <row r="13" customFormat="false" ht="15" hidden="false" customHeight="false" outlineLevel="0" collapsed="false">
      <c r="A13" s="11" t="s">
        <v>218</v>
      </c>
      <c r="B13" s="12" t="n">
        <v>0</v>
      </c>
      <c r="C13" s="12" t="n">
        <v>0</v>
      </c>
      <c r="D13" s="12" t="n">
        <v>0</v>
      </c>
      <c r="E13" s="12" t="n">
        <v>0</v>
      </c>
      <c r="F13" s="12" t="n">
        <v>0</v>
      </c>
      <c r="G13" s="12" t="n">
        <v>0</v>
      </c>
    </row>
    <row r="14" customFormat="false" ht="15" hidden="false" customHeight="false" outlineLevel="0" collapsed="false">
      <c r="A14" s="67" t="s">
        <v>219</v>
      </c>
      <c r="B14" s="68" t="n">
        <f aca="false">SUM(B9:B13)</f>
        <v>0</v>
      </c>
      <c r="C14" s="68" t="n">
        <f aca="false">SUM(C9:C13)</f>
        <v>0</v>
      </c>
      <c r="D14" s="68" t="n">
        <f aca="false">SUM(D9:D13)</f>
        <v>0</v>
      </c>
      <c r="E14" s="68" t="n">
        <f aca="false">SUM(E9:E13)</f>
        <v>0</v>
      </c>
      <c r="F14" s="68" t="n">
        <f aca="false">SUM(F9:F13)</f>
        <v>0</v>
      </c>
      <c r="G14" s="68" t="n">
        <f aca="false">SUM(G9:G13)</f>
        <v>0</v>
      </c>
    </row>
    <row r="16" customFormat="false" ht="18" hidden="false" customHeight="true" outlineLevel="0" collapsed="false">
      <c r="A16" s="9" t="s">
        <v>220</v>
      </c>
      <c r="B16" s="9"/>
      <c r="C16" s="9"/>
      <c r="D16" s="9"/>
      <c r="E16" s="9"/>
      <c r="F16" s="9"/>
      <c r="G16" s="9"/>
    </row>
    <row r="17" customFormat="false" ht="15" hidden="false" customHeight="false" outlineLevel="0" collapsed="false">
      <c r="A17" s="66" t="s">
        <v>221</v>
      </c>
      <c r="B17" s="66" t="s">
        <v>20</v>
      </c>
      <c r="C17" s="66" t="s">
        <v>21</v>
      </c>
      <c r="D17" s="66" t="s">
        <v>22</v>
      </c>
      <c r="E17" s="66" t="s">
        <v>23</v>
      </c>
      <c r="F17" s="66" t="s">
        <v>24</v>
      </c>
      <c r="G17" s="66" t="s">
        <v>25</v>
      </c>
    </row>
    <row r="18" customFormat="false" ht="15" hidden="false" customHeight="false" outlineLevel="0" collapsed="false">
      <c r="A18" s="11" t="s">
        <v>222</v>
      </c>
      <c r="B18" s="12" t="n">
        <v>0</v>
      </c>
      <c r="C18" s="12" t="n">
        <v>0</v>
      </c>
      <c r="D18" s="12" t="n">
        <v>0</v>
      </c>
      <c r="E18" s="12" t="n">
        <v>0</v>
      </c>
      <c r="F18" s="12" t="n">
        <v>0</v>
      </c>
      <c r="G18" s="12" t="n">
        <v>0</v>
      </c>
    </row>
    <row r="19" customFormat="false" ht="15" hidden="false" customHeight="false" outlineLevel="0" collapsed="false">
      <c r="A19" s="11" t="s">
        <v>223</v>
      </c>
      <c r="B19" s="12" t="n">
        <v>0</v>
      </c>
      <c r="C19" s="12" t="n">
        <v>0</v>
      </c>
      <c r="D19" s="12" t="n">
        <v>0</v>
      </c>
      <c r="E19" s="12" t="n">
        <v>0</v>
      </c>
      <c r="F19" s="12" t="n">
        <v>0</v>
      </c>
      <c r="G19" s="12" t="n">
        <v>0</v>
      </c>
    </row>
    <row r="20" customFormat="false" ht="15" hidden="false" customHeight="false" outlineLevel="0" collapsed="false">
      <c r="A20" s="11" t="s">
        <v>224</v>
      </c>
      <c r="B20" s="12" t="n">
        <v>0</v>
      </c>
      <c r="C20" s="12" t="n">
        <v>0</v>
      </c>
      <c r="D20" s="12" t="n">
        <v>0</v>
      </c>
      <c r="E20" s="12" t="n">
        <v>0</v>
      </c>
      <c r="F20" s="12" t="n">
        <v>0</v>
      </c>
      <c r="G20" s="12" t="n">
        <v>0</v>
      </c>
    </row>
    <row r="21" customFormat="false" ht="15" hidden="false" customHeight="false" outlineLevel="0" collapsed="false">
      <c r="A21" s="14" t="s">
        <v>225</v>
      </c>
      <c r="B21" s="15" t="n">
        <f aca="false">SUM(B18:B20)</f>
        <v>0</v>
      </c>
      <c r="C21" s="15" t="n">
        <f aca="false">SUM(C18:C20)</f>
        <v>0</v>
      </c>
      <c r="D21" s="15" t="n">
        <f aca="false">SUM(D18:D20)</f>
        <v>0</v>
      </c>
      <c r="E21" s="15" t="n">
        <f aca="false">SUM(E18:E20)</f>
        <v>0</v>
      </c>
      <c r="F21" s="15" t="n">
        <f aca="false">SUM(F18:F20)</f>
        <v>0</v>
      </c>
      <c r="G21" s="15" t="n">
        <f aca="false">SUM(G18:G20)</f>
        <v>0</v>
      </c>
    </row>
    <row r="22" customFormat="false" ht="15" hidden="false" customHeight="false" outlineLevel="0" collapsed="false">
      <c r="A22" s="50" t="s">
        <v>226</v>
      </c>
      <c r="B22" s="69" t="n">
        <f aca="false">IFERROR(B21/B14,0)</f>
        <v>0</v>
      </c>
      <c r="C22" s="69" t="n">
        <f aca="false">IFERROR(C21/C14,0)</f>
        <v>0</v>
      </c>
      <c r="D22" s="69" t="n">
        <f aca="false">IFERROR(D21/D14,0)</f>
        <v>0</v>
      </c>
      <c r="E22" s="69" t="n">
        <f aca="false">IFERROR(E21/E14,0)</f>
        <v>0</v>
      </c>
      <c r="F22" s="69" t="n">
        <f aca="false">IFERROR(F21/F14,0)</f>
        <v>0</v>
      </c>
      <c r="G22" s="69" t="n">
        <f aca="false">IFERROR(G21/G14,0)</f>
        <v>0</v>
      </c>
    </row>
    <row r="24" customFormat="false" ht="18" hidden="false" customHeight="true" outlineLevel="0" collapsed="false">
      <c r="A24" s="2" t="s">
        <v>227</v>
      </c>
      <c r="B24" s="2"/>
      <c r="C24" s="2"/>
      <c r="D24" s="2"/>
      <c r="E24" s="2"/>
      <c r="F24" s="2"/>
      <c r="G24" s="2"/>
    </row>
    <row r="25" customFormat="false" ht="15" hidden="false" customHeight="false" outlineLevel="0" collapsed="false">
      <c r="A25" s="11" t="s">
        <v>228</v>
      </c>
      <c r="B25" s="17" t="n">
        <f aca="false">B14</f>
        <v>0</v>
      </c>
      <c r="C25" s="17"/>
      <c r="D25" s="17"/>
      <c r="E25" s="17"/>
      <c r="F25" s="17"/>
      <c r="G25" s="17"/>
    </row>
    <row r="26" customFormat="false" ht="15" hidden="false" customHeight="false" outlineLevel="0" collapsed="false">
      <c r="A26" s="11" t="s">
        <v>229</v>
      </c>
      <c r="B26" s="17" t="n">
        <f aca="false">-B21</f>
        <v>-0</v>
      </c>
      <c r="C26" s="17"/>
      <c r="D26" s="17"/>
      <c r="E26" s="17"/>
      <c r="F26" s="17"/>
      <c r="G26" s="17"/>
    </row>
    <row r="27" customFormat="false" ht="15" hidden="false" customHeight="false" outlineLevel="0" collapsed="false">
      <c r="A27" s="11" t="s">
        <v>230</v>
      </c>
      <c r="B27" s="17" t="n">
        <f aca="false">-'Custos &amp; Ponto Equilíbrio'!B22</f>
        <v>-396</v>
      </c>
      <c r="C27" s="17"/>
      <c r="D27" s="17"/>
      <c r="E27" s="17"/>
      <c r="F27" s="17"/>
      <c r="G27" s="17"/>
    </row>
    <row r="28" customFormat="false" ht="15" hidden="false" customHeight="false" outlineLevel="0" collapsed="false">
      <c r="A28" s="11" t="s">
        <v>231</v>
      </c>
      <c r="B28" s="17" t="n">
        <f aca="false">-('Custos &amp; Ponto Equilíbrio'!I32-'Custos &amp; Ponto Equilíbrio'!I26-'Custos &amp; Ponto Equilíbrio'!I27-'Custos &amp; Ponto Equilíbrio'!I28)</f>
        <v>-122.5</v>
      </c>
      <c r="C28" s="17"/>
      <c r="D28" s="17"/>
      <c r="E28" s="17"/>
      <c r="F28" s="17"/>
      <c r="G28" s="17"/>
    </row>
    <row r="29" customFormat="false" ht="15" hidden="false" customHeight="false" outlineLevel="0" collapsed="false">
      <c r="A29" s="70" t="s">
        <v>232</v>
      </c>
      <c r="B29" s="71" t="n">
        <f aca="false">B25+B26+B27+B28</f>
        <v>-518.5</v>
      </c>
      <c r="C29" s="71"/>
      <c r="D29" s="71"/>
      <c r="E29" s="71"/>
      <c r="F29" s="71"/>
      <c r="G29" s="71"/>
    </row>
    <row r="30" customFormat="false" ht="15" hidden="false" customHeight="false" outlineLevel="0" collapsed="false">
      <c r="A30" s="11" t="s">
        <v>233</v>
      </c>
      <c r="B30" s="18" t="n">
        <f aca="false">IFERROR(B29/B25,0)</f>
        <v>0</v>
      </c>
      <c r="C30" s="18"/>
      <c r="D30" s="18"/>
      <c r="E30" s="18"/>
      <c r="F30" s="18"/>
      <c r="G30" s="18"/>
    </row>
    <row r="32" customFormat="false" ht="15" hidden="false" customHeight="false" outlineLevel="0" collapsed="false">
      <c r="A32" s="72" t="str">
        <f aca="false">IF(B14=0,"",IF(B22&gt;'Custos &amp; Ponto Equilíbrio'!$B$4,"🔴 CMV CRÍTICO: "&amp;TEXT(B22,"0.0%")&amp;" — ACIMA DA META DE "&amp;TEXT('Custos &amp; Ponto Equilíbrio'!$B$4,"0%")&amp;" ▶ REVISE PREÇOS OU RECEITAS",IF(B22&gt;='Custos &amp; Ponto Equilíbrio'!$B$5,"🟡 CMV EM ATENÇÃO: "&amp;TEXT(B22,"0.0%")&amp;" — Faixa de risco — Meta: "&amp;TEXT('Custos &amp; Ponto Equilíbrio'!$B$4,"0%"),"🟢 CMV EXCELENTE: "&amp;TEXT(B22,"0.0%")&amp;" — Abaixo de "&amp;TEXT('Custos &amp; Ponto Equilíbrio'!$B$5,"0%")&amp;" — LUCRATIVIDADE ÓTIMA")))</f>
        <v/>
      </c>
      <c r="B32" s="72"/>
      <c r="C32" s="72"/>
      <c r="D32" s="72"/>
      <c r="E32" s="72"/>
      <c r="F32" s="72"/>
      <c r="G32" s="72"/>
    </row>
    <row r="34" customFormat="false" ht="18" hidden="false" customHeight="true" outlineLevel="0" collapsed="false">
      <c r="A34" s="2" t="s">
        <v>234</v>
      </c>
      <c r="B34" s="2"/>
      <c r="C34" s="2"/>
      <c r="D34" s="2"/>
      <c r="E34" s="2"/>
      <c r="F34" s="2"/>
      <c r="G34" s="2"/>
    </row>
    <row r="35" customFormat="false" ht="15" hidden="false" customHeight="false" outlineLevel="0" collapsed="false">
      <c r="A35" s="11" t="s">
        <v>235</v>
      </c>
      <c r="B35" s="17" t="n">
        <f aca="false">'Custos &amp; Ponto Equilíbrio'!B50</f>
        <v>5388</v>
      </c>
      <c r="C35" s="17"/>
      <c r="D35" s="17"/>
      <c r="E35" s="17"/>
      <c r="F35" s="17"/>
      <c r="G35" s="17"/>
    </row>
    <row r="36" customFormat="false" ht="15" hidden="false" customHeight="false" outlineLevel="0" collapsed="false">
      <c r="A36" s="11" t="s">
        <v>236</v>
      </c>
      <c r="B36" s="17" t="n">
        <f aca="false">'Custos &amp; Ponto Equilíbrio'!B66</f>
        <v>11278</v>
      </c>
      <c r="C36" s="17"/>
      <c r="D36" s="17"/>
      <c r="E36" s="17"/>
      <c r="F36" s="17"/>
      <c r="G36" s="17"/>
    </row>
    <row r="37" customFormat="false" ht="15" hidden="false" customHeight="false" outlineLevel="0" collapsed="false">
      <c r="A37" s="73" t="s">
        <v>237</v>
      </c>
      <c r="B37" s="74" t="n">
        <f aca="false">'Custos &amp; Ponto Equilíbrio'!B50+'Custos &amp; Ponto Equilíbrio'!B66</f>
        <v>16666</v>
      </c>
      <c r="C37" s="74"/>
      <c r="D37" s="74"/>
      <c r="E37" s="74"/>
      <c r="F37" s="74"/>
      <c r="G37" s="74"/>
    </row>
    <row r="39" customFormat="false" ht="15" hidden="false" customHeight="true" outlineLevel="0" collapsed="false">
      <c r="A39" s="26" t="s">
        <v>238</v>
      </c>
      <c r="B39" s="26"/>
      <c r="C39" s="26"/>
      <c r="D39" s="26"/>
      <c r="E39" s="26"/>
      <c r="F39" s="26"/>
      <c r="G39" s="26"/>
    </row>
  </sheetData>
  <mergeCells count="17">
    <mergeCell ref="A1:G1"/>
    <mergeCell ref="A3:G3"/>
    <mergeCell ref="A7:G7"/>
    <mergeCell ref="A16:G16"/>
    <mergeCell ref="A24:G24"/>
    <mergeCell ref="B25:G25"/>
    <mergeCell ref="B26:G26"/>
    <mergeCell ref="B27:G27"/>
    <mergeCell ref="B28:G28"/>
    <mergeCell ref="B29:G29"/>
    <mergeCell ref="B30:G30"/>
    <mergeCell ref="A32:G32"/>
    <mergeCell ref="A34:G34"/>
    <mergeCell ref="B35:G35"/>
    <mergeCell ref="B36:G36"/>
    <mergeCell ref="B37:G37"/>
    <mergeCell ref="A39:G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2026-08-07T16:21:46Z</dcterms:created>
  <dc:creator>openpyxl</dc:creator>
  <dc:description/>
  <dc:language>en-US</dc:language>
  <cp:lastModifiedBy/>
  <dcterms:modified xsi:type="dcterms:W3CDTF">2026-08-07T16:21:46Z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